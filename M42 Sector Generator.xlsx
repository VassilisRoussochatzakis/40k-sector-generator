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b\Documents\RPGs\Warhammer\40K\Imperium Maledictum\"/>
    </mc:Choice>
  </mc:AlternateContent>
  <xr:revisionPtr revIDLastSave="0" documentId="13_ncr:1_{621B82FB-1E15-4A46-829C-BB29B067D069}" xr6:coauthVersionLast="47" xr6:coauthVersionMax="47" xr10:uidLastSave="{00000000-0000-0000-0000-000000000000}"/>
  <bookViews>
    <workbookView xWindow="-120" yWindow="-120" windowWidth="29040" windowHeight="15840" activeTab="1" xr2:uid="{EA2DAEDB-42C4-4EB6-B482-9339A59E502A}"/>
  </bookViews>
  <sheets>
    <sheet name="Generator Template" sheetId="42" r:id="rId1"/>
    <sheet name="Key" sheetId="2" r:id="rId2"/>
    <sheet name="Sample Subsector" sheetId="4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2" l="1" a="1"/>
  <c r="O2" i="42" s="1"/>
  <c r="L2" i="42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135" i="45"/>
  <c r="B136" i="45"/>
  <c r="B137" i="45"/>
  <c r="B138" i="45"/>
  <c r="B139" i="45"/>
  <c r="B140" i="45"/>
  <c r="B141" i="45"/>
  <c r="B142" i="45"/>
  <c r="B143" i="45"/>
  <c r="B144" i="45"/>
  <c r="B145" i="45"/>
  <c r="B146" i="45"/>
  <c r="B147" i="45"/>
  <c r="B148" i="45"/>
  <c r="B149" i="45"/>
  <c r="B150" i="45"/>
  <c r="B151" i="45"/>
  <c r="B152" i="45"/>
  <c r="B153" i="45"/>
  <c r="B154" i="45"/>
  <c r="B155" i="45"/>
  <c r="B156" i="45"/>
  <c r="B157" i="45"/>
  <c r="B158" i="45"/>
  <c r="B159" i="45"/>
  <c r="B160" i="45"/>
  <c r="B161" i="45"/>
  <c r="B162" i="45"/>
  <c r="B163" i="45"/>
  <c r="B164" i="45"/>
  <c r="B165" i="45"/>
  <c r="B166" i="45"/>
  <c r="B167" i="45"/>
  <c r="B168" i="45"/>
  <c r="B169" i="45"/>
  <c r="B170" i="45"/>
  <c r="B171" i="45"/>
  <c r="B172" i="45"/>
  <c r="B173" i="45"/>
  <c r="B174" i="45"/>
  <c r="B175" i="45"/>
  <c r="B176" i="45"/>
  <c r="B177" i="45"/>
  <c r="B178" i="45"/>
  <c r="B179" i="45"/>
  <c r="B180" i="45"/>
  <c r="B181" i="45"/>
  <c r="B182" i="45"/>
  <c r="B183" i="45"/>
  <c r="B184" i="45"/>
  <c r="B185" i="45"/>
  <c r="B186" i="45"/>
  <c r="B187" i="45"/>
  <c r="B188" i="45"/>
  <c r="B189" i="45"/>
  <c r="B190" i="45"/>
  <c r="B91" i="45"/>
  <c r="M3" i="42" a="1"/>
  <c r="M3" i="42" s="1"/>
  <c r="M4" i="42" a="1"/>
  <c r="M4" i="42" s="1"/>
  <c r="M5" i="42" a="1"/>
  <c r="M5" i="42" s="1"/>
  <c r="M6" i="42" a="1"/>
  <c r="M6" i="42" s="1"/>
  <c r="M7" i="42" a="1"/>
  <c r="M7" i="42" s="1"/>
  <c r="M8" i="42" a="1"/>
  <c r="M8" i="42" s="1"/>
  <c r="M9" i="42" a="1"/>
  <c r="M9" i="42" s="1"/>
  <c r="M10" i="42" a="1"/>
  <c r="M10" i="42" s="1"/>
  <c r="M11" i="42" a="1"/>
  <c r="M11" i="42" s="1"/>
  <c r="M12" i="42" a="1"/>
  <c r="M12" i="42" s="1"/>
  <c r="M13" i="42" a="1"/>
  <c r="M13" i="42" s="1"/>
  <c r="M14" i="42" a="1"/>
  <c r="M14" i="42" s="1"/>
  <c r="M15" i="42" a="1"/>
  <c r="M15" i="42" s="1"/>
  <c r="M16" i="42" a="1"/>
  <c r="M16" i="42" s="1"/>
  <c r="M17" i="42" a="1"/>
  <c r="M17" i="42" s="1"/>
  <c r="M18" i="42" a="1"/>
  <c r="M18" i="42" s="1"/>
  <c r="M19" i="42" a="1"/>
  <c r="M19" i="42" s="1"/>
  <c r="M20" i="42" a="1"/>
  <c r="M20" i="42" s="1"/>
  <c r="M21" i="42" a="1"/>
  <c r="M21" i="42" s="1"/>
  <c r="M22" i="42" a="1"/>
  <c r="M22" i="42" s="1"/>
  <c r="M23" i="42" a="1"/>
  <c r="M23" i="42" s="1"/>
  <c r="M24" i="42" a="1"/>
  <c r="M24" i="42" s="1"/>
  <c r="M25" i="42" a="1"/>
  <c r="M25" i="42" s="1"/>
  <c r="M26" i="42" a="1"/>
  <c r="M26" i="42" s="1"/>
  <c r="M27" i="42" a="1"/>
  <c r="M27" i="42" s="1"/>
  <c r="M28" i="42" a="1"/>
  <c r="M28" i="42" s="1"/>
  <c r="M29" i="42" a="1"/>
  <c r="M29" i="42" s="1"/>
  <c r="M30" i="42" a="1"/>
  <c r="M30" i="42" s="1"/>
  <c r="M31" i="42" a="1"/>
  <c r="M31" i="42" s="1"/>
  <c r="M32" i="42" a="1"/>
  <c r="M32" i="42" s="1"/>
  <c r="M33" i="42" a="1"/>
  <c r="M33" i="42" s="1"/>
  <c r="M34" i="42" a="1"/>
  <c r="M34" i="42" s="1"/>
  <c r="M35" i="42" a="1"/>
  <c r="M35" i="42" s="1"/>
  <c r="M36" i="42" a="1"/>
  <c r="M36" i="42" s="1"/>
  <c r="M37" i="42" a="1"/>
  <c r="M37" i="42" s="1"/>
  <c r="M38" i="42" a="1"/>
  <c r="M38" i="42" s="1"/>
  <c r="M39" i="42" a="1"/>
  <c r="M39" i="42" s="1"/>
  <c r="M40" i="42" a="1"/>
  <c r="M40" i="42" s="1"/>
  <c r="M41" i="42" a="1"/>
  <c r="M41" i="42" s="1"/>
  <c r="M42" i="42" a="1"/>
  <c r="M42" i="42" s="1"/>
  <c r="M43" i="42" a="1"/>
  <c r="M43" i="42" s="1"/>
  <c r="M44" i="42" a="1"/>
  <c r="M44" i="42" s="1"/>
  <c r="M45" i="42" a="1"/>
  <c r="M45" i="42" s="1"/>
  <c r="M46" i="42" a="1"/>
  <c r="M46" i="42" s="1"/>
  <c r="M47" i="42" a="1"/>
  <c r="M47" i="42" s="1"/>
  <c r="M48" i="42" a="1"/>
  <c r="M48" i="42" s="1"/>
  <c r="M49" i="42" a="1"/>
  <c r="M49" i="42" s="1"/>
  <c r="M50" i="42" a="1"/>
  <c r="M50" i="42" s="1"/>
  <c r="M51" i="42" a="1"/>
  <c r="M51" i="42" s="1"/>
  <c r="M52" i="42" a="1"/>
  <c r="M52" i="42" s="1"/>
  <c r="M53" i="42" a="1"/>
  <c r="M53" i="42" s="1"/>
  <c r="M54" i="42" a="1"/>
  <c r="M54" i="42" s="1"/>
  <c r="M55" i="42" a="1"/>
  <c r="M55" i="42" s="1"/>
  <c r="M56" i="42" a="1"/>
  <c r="M56" i="42" s="1"/>
  <c r="M57" i="42" a="1"/>
  <c r="M57" i="42" s="1"/>
  <c r="M58" i="42" a="1"/>
  <c r="M58" i="42" s="1"/>
  <c r="M59" i="42" a="1"/>
  <c r="M59" i="42" s="1"/>
  <c r="M60" i="42" a="1"/>
  <c r="M60" i="42" s="1"/>
  <c r="M61" i="42" a="1"/>
  <c r="M61" i="42" s="1"/>
  <c r="M62" i="42" a="1"/>
  <c r="M62" i="42" s="1"/>
  <c r="M63" i="42" a="1"/>
  <c r="M63" i="42" s="1"/>
  <c r="M64" i="42" a="1"/>
  <c r="M64" i="42" s="1"/>
  <c r="M65" i="42" a="1"/>
  <c r="M65" i="42" s="1"/>
  <c r="M66" i="42" a="1"/>
  <c r="M66" i="42" s="1"/>
  <c r="M67" i="42" a="1"/>
  <c r="M67" i="42" s="1"/>
  <c r="M68" i="42" a="1"/>
  <c r="M68" i="42" s="1"/>
  <c r="M69" i="42" a="1"/>
  <c r="M69" i="42" s="1"/>
  <c r="M70" i="42" a="1"/>
  <c r="M70" i="42" s="1"/>
  <c r="M71" i="42" a="1"/>
  <c r="M71" i="42" s="1"/>
  <c r="M72" i="42" a="1"/>
  <c r="M72" i="42" s="1"/>
  <c r="M73" i="42" a="1"/>
  <c r="M73" i="42" s="1"/>
  <c r="M74" i="42" a="1"/>
  <c r="M74" i="42" s="1"/>
  <c r="M75" i="42" a="1"/>
  <c r="M75" i="42" s="1"/>
  <c r="M76" i="42" a="1"/>
  <c r="M76" i="42" s="1"/>
  <c r="M77" i="42" a="1"/>
  <c r="M77" i="42" s="1"/>
  <c r="M78" i="42" a="1"/>
  <c r="M78" i="42" s="1"/>
  <c r="M79" i="42" a="1"/>
  <c r="M79" i="42" s="1"/>
  <c r="M80" i="42" a="1"/>
  <c r="M80" i="42" s="1"/>
  <c r="M81" i="42" a="1"/>
  <c r="M81" i="42" s="1"/>
  <c r="M82" i="42" a="1"/>
  <c r="M82" i="42" s="1"/>
  <c r="M83" i="42" a="1"/>
  <c r="M83" i="42" s="1"/>
  <c r="M84" i="42" a="1"/>
  <c r="M84" i="42" s="1"/>
  <c r="M85" i="42" a="1"/>
  <c r="M85" i="42" s="1"/>
  <c r="M86" i="42" a="1"/>
  <c r="M86" i="42" s="1"/>
  <c r="M87" i="42" a="1"/>
  <c r="M87" i="42" s="1"/>
  <c r="M88" i="42" a="1"/>
  <c r="M88" i="42" s="1"/>
  <c r="M89" i="42" a="1"/>
  <c r="M89" i="42" s="1"/>
  <c r="M90" i="42" a="1"/>
  <c r="M90" i="42" s="1"/>
  <c r="M91" i="42" a="1"/>
  <c r="M91" i="42" s="1"/>
  <c r="M92" i="42" a="1"/>
  <c r="M92" i="42" s="1"/>
  <c r="M93" i="42" a="1"/>
  <c r="M93" i="42" s="1"/>
  <c r="M94" i="42" a="1"/>
  <c r="M94" i="42" s="1"/>
  <c r="M95" i="42" a="1"/>
  <c r="M95" i="42" s="1"/>
  <c r="M96" i="42" a="1"/>
  <c r="M96" i="42" s="1"/>
  <c r="M97" i="42" a="1"/>
  <c r="M97" i="42" s="1"/>
  <c r="M98" i="42" a="1"/>
  <c r="M98" i="42" s="1"/>
  <c r="M99" i="42" a="1"/>
  <c r="M99" i="42" s="1"/>
  <c r="M100" i="42" a="1"/>
  <c r="M100" i="42" s="1"/>
  <c r="M101" i="42" a="1"/>
  <c r="M101" i="42" s="1"/>
  <c r="M102" i="42" a="1"/>
  <c r="M102" i="42" s="1"/>
  <c r="M103" i="42" a="1"/>
  <c r="M103" i="42" s="1"/>
  <c r="M104" i="42" a="1"/>
  <c r="M104" i="42" s="1"/>
  <c r="M105" i="42" a="1"/>
  <c r="M105" i="42" s="1"/>
  <c r="M106" i="42" a="1"/>
  <c r="M106" i="42" s="1"/>
  <c r="M107" i="42" a="1"/>
  <c r="M107" i="42" s="1"/>
  <c r="M108" i="42" a="1"/>
  <c r="M108" i="42" s="1"/>
  <c r="M109" i="42" a="1"/>
  <c r="M109" i="42" s="1"/>
  <c r="M110" i="42" a="1"/>
  <c r="M110" i="42" s="1"/>
  <c r="M111" i="42" a="1"/>
  <c r="M111" i="42" s="1"/>
  <c r="M112" i="42" a="1"/>
  <c r="M112" i="42" s="1"/>
  <c r="M113" i="42" a="1"/>
  <c r="M113" i="42" s="1"/>
  <c r="M114" i="42" a="1"/>
  <c r="M114" i="42" s="1"/>
  <c r="M115" i="42" a="1"/>
  <c r="M115" i="42" s="1"/>
  <c r="M116" i="42" a="1"/>
  <c r="M116" i="42" s="1"/>
  <c r="M117" i="42" a="1"/>
  <c r="M117" i="42" s="1"/>
  <c r="M118" i="42" a="1"/>
  <c r="M118" i="42" s="1"/>
  <c r="M119" i="42" a="1"/>
  <c r="M119" i="42" s="1"/>
  <c r="M120" i="42" a="1"/>
  <c r="M120" i="42" s="1"/>
  <c r="M121" i="42" a="1"/>
  <c r="M121" i="42" s="1"/>
  <c r="L3" i="42"/>
  <c r="L4" i="42"/>
  <c r="L5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59" i="42"/>
  <c r="L60" i="42"/>
  <c r="L61" i="42"/>
  <c r="L62" i="42"/>
  <c r="L63" i="42"/>
  <c r="L64" i="42"/>
  <c r="L65" i="42"/>
  <c r="L66" i="42"/>
  <c r="L67" i="42"/>
  <c r="L68" i="42"/>
  <c r="L69" i="42"/>
  <c r="L70" i="42"/>
  <c r="L71" i="42"/>
  <c r="L72" i="42"/>
  <c r="L73" i="42"/>
  <c r="L74" i="42"/>
  <c r="L75" i="42"/>
  <c r="L76" i="42"/>
  <c r="L77" i="42"/>
  <c r="L78" i="42"/>
  <c r="L79" i="42"/>
  <c r="L80" i="42"/>
  <c r="L81" i="42"/>
  <c r="L82" i="42"/>
  <c r="L83" i="42"/>
  <c r="L84" i="42"/>
  <c r="L85" i="42"/>
  <c r="L86" i="42"/>
  <c r="L87" i="42"/>
  <c r="L88" i="42"/>
  <c r="L89" i="42"/>
  <c r="L90" i="42"/>
  <c r="L91" i="42"/>
  <c r="L92" i="42"/>
  <c r="L93" i="42"/>
  <c r="L94" i="42"/>
  <c r="L95" i="42"/>
  <c r="L96" i="42"/>
  <c r="L97" i="42"/>
  <c r="L98" i="42"/>
  <c r="L99" i="42"/>
  <c r="L100" i="42"/>
  <c r="L101" i="42"/>
  <c r="L102" i="42"/>
  <c r="L103" i="42"/>
  <c r="L104" i="42"/>
  <c r="L105" i="42"/>
  <c r="L106" i="42"/>
  <c r="L107" i="42"/>
  <c r="L108" i="42"/>
  <c r="L109" i="42"/>
  <c r="L110" i="42"/>
  <c r="L111" i="42"/>
  <c r="L112" i="42"/>
  <c r="L113" i="42"/>
  <c r="L114" i="42"/>
  <c r="L115" i="42"/>
  <c r="L116" i="42"/>
  <c r="L117" i="42"/>
  <c r="L118" i="42"/>
  <c r="L119" i="42"/>
  <c r="L120" i="42"/>
  <c r="L121" i="42"/>
  <c r="M2" i="42" a="1"/>
  <c r="M2" i="42" s="1"/>
  <c r="O3" i="42" a="1"/>
  <c r="O3" i="42" s="1"/>
  <c r="O4" i="42" a="1"/>
  <c r="O4" i="42" s="1"/>
  <c r="O5" i="42" a="1"/>
  <c r="O5" i="42" s="1"/>
  <c r="O6" i="42" a="1"/>
  <c r="O6" i="42" s="1"/>
  <c r="O7" i="42" a="1"/>
  <c r="O7" i="42" s="1"/>
  <c r="O8" i="42" a="1"/>
  <c r="O8" i="42" s="1"/>
  <c r="O9" i="42" a="1"/>
  <c r="O9" i="42" s="1"/>
  <c r="O10" i="42" a="1"/>
  <c r="O10" i="42" s="1"/>
  <c r="O11" i="42" a="1"/>
  <c r="O11" i="42" s="1"/>
  <c r="O12" i="42" a="1"/>
  <c r="O12" i="42" s="1"/>
  <c r="O13" i="42" a="1"/>
  <c r="O13" i="42" s="1"/>
  <c r="O14" i="42" a="1"/>
  <c r="O14" i="42" s="1"/>
  <c r="O15" i="42" a="1"/>
  <c r="O15" i="42" s="1"/>
  <c r="O16" i="42" a="1"/>
  <c r="O16" i="42" s="1"/>
  <c r="O17" i="42" a="1"/>
  <c r="O17" i="42" s="1"/>
  <c r="O18" i="42" a="1"/>
  <c r="O18" i="42" s="1"/>
  <c r="O19" i="42" a="1"/>
  <c r="O19" i="42" s="1"/>
  <c r="O20" i="42" a="1"/>
  <c r="O20" i="42" s="1"/>
  <c r="O21" i="42" a="1"/>
  <c r="O21" i="42" s="1"/>
  <c r="O22" i="42" a="1"/>
  <c r="O22" i="42" s="1"/>
  <c r="O23" i="42" a="1"/>
  <c r="O23" i="42" s="1"/>
  <c r="O24" i="42" a="1"/>
  <c r="O24" i="42" s="1"/>
  <c r="O25" i="42" a="1"/>
  <c r="O25" i="42" s="1"/>
  <c r="O26" i="42" a="1"/>
  <c r="O26" i="42" s="1"/>
  <c r="O27" i="42" a="1"/>
  <c r="O27" i="42" s="1"/>
  <c r="O28" i="42" a="1"/>
  <c r="O28" i="42" s="1"/>
  <c r="O29" i="42" a="1"/>
  <c r="O29" i="42" s="1"/>
  <c r="O30" i="42" a="1"/>
  <c r="O30" i="42" s="1"/>
  <c r="O31" i="42" a="1"/>
  <c r="O31" i="42" s="1"/>
  <c r="O32" i="42" a="1"/>
  <c r="O32" i="42" s="1"/>
  <c r="O33" i="42" a="1"/>
  <c r="O33" i="42" s="1"/>
  <c r="O34" i="42" a="1"/>
  <c r="O34" i="42" s="1"/>
  <c r="O35" i="42" a="1"/>
  <c r="O35" i="42" s="1"/>
  <c r="O36" i="42" a="1"/>
  <c r="O36" i="42" s="1"/>
  <c r="O37" i="42" a="1"/>
  <c r="O37" i="42" s="1"/>
  <c r="O38" i="42" a="1"/>
  <c r="O38" i="42" s="1"/>
  <c r="O39" i="42" a="1"/>
  <c r="O39" i="42" s="1"/>
  <c r="O40" i="42" a="1"/>
  <c r="O40" i="42" s="1"/>
  <c r="O41" i="42" a="1"/>
  <c r="O41" i="42" s="1"/>
  <c r="O42" i="42" a="1"/>
  <c r="O42" i="42" s="1"/>
  <c r="O43" i="42" a="1"/>
  <c r="O43" i="42" s="1"/>
  <c r="O44" i="42" a="1"/>
  <c r="O44" i="42" s="1"/>
  <c r="O45" i="42" a="1"/>
  <c r="O45" i="42" s="1"/>
  <c r="O46" i="42" a="1"/>
  <c r="O46" i="42" s="1"/>
  <c r="O47" i="42" a="1"/>
  <c r="O47" i="42" s="1"/>
  <c r="O48" i="42" a="1"/>
  <c r="O48" i="42" s="1"/>
  <c r="O49" i="42" a="1"/>
  <c r="O49" i="42" s="1"/>
  <c r="O50" i="42" a="1"/>
  <c r="O50" i="42" s="1"/>
  <c r="O51" i="42" a="1"/>
  <c r="O51" i="42" s="1"/>
  <c r="O52" i="42" a="1"/>
  <c r="O52" i="42" s="1"/>
  <c r="O53" i="42" a="1"/>
  <c r="O53" i="42" s="1"/>
  <c r="O54" i="42" a="1"/>
  <c r="O54" i="42" s="1"/>
  <c r="O55" i="42" a="1"/>
  <c r="O55" i="42" s="1"/>
  <c r="O56" i="42" a="1"/>
  <c r="O56" i="42" s="1"/>
  <c r="O57" i="42" a="1"/>
  <c r="O57" i="42" s="1"/>
  <c r="O58" i="42" a="1"/>
  <c r="O58" i="42" s="1"/>
  <c r="O59" i="42" a="1"/>
  <c r="O59" i="42" s="1"/>
  <c r="O60" i="42" a="1"/>
  <c r="O60" i="42" s="1"/>
  <c r="O61" i="42" a="1"/>
  <c r="O61" i="42" s="1"/>
  <c r="O62" i="42" a="1"/>
  <c r="O62" i="42" s="1"/>
  <c r="O63" i="42" a="1"/>
  <c r="O63" i="42" s="1"/>
  <c r="O64" i="42" a="1"/>
  <c r="O64" i="42" s="1"/>
  <c r="O65" i="42" a="1"/>
  <c r="O65" i="42" s="1"/>
  <c r="O66" i="42" a="1"/>
  <c r="O66" i="42" s="1"/>
  <c r="O67" i="42" a="1"/>
  <c r="O67" i="42" s="1"/>
  <c r="O68" i="42" a="1"/>
  <c r="O68" i="42" s="1"/>
  <c r="O69" i="42" a="1"/>
  <c r="O69" i="42" s="1"/>
  <c r="O70" i="42" a="1"/>
  <c r="O70" i="42" s="1"/>
  <c r="O71" i="42" a="1"/>
  <c r="O71" i="42" s="1"/>
  <c r="O72" i="42" a="1"/>
  <c r="O72" i="42" s="1"/>
  <c r="O73" i="42" a="1"/>
  <c r="O73" i="42" s="1"/>
  <c r="O74" i="42" a="1"/>
  <c r="O74" i="42" s="1"/>
  <c r="O75" i="42" a="1"/>
  <c r="O75" i="42" s="1"/>
  <c r="O76" i="42" a="1"/>
  <c r="O76" i="42" s="1"/>
  <c r="O77" i="42" a="1"/>
  <c r="O77" i="42" s="1"/>
  <c r="O78" i="42" a="1"/>
  <c r="O78" i="42" s="1"/>
  <c r="O79" i="42" a="1"/>
  <c r="O79" i="42" s="1"/>
  <c r="O80" i="42" a="1"/>
  <c r="O80" i="42" s="1"/>
  <c r="O81" i="42" a="1"/>
  <c r="O81" i="42" s="1"/>
  <c r="O82" i="42" a="1"/>
  <c r="O82" i="42" s="1"/>
  <c r="O83" i="42" a="1"/>
  <c r="O83" i="42" s="1"/>
  <c r="O84" i="42" a="1"/>
  <c r="O84" i="42" s="1"/>
  <c r="O85" i="42" a="1"/>
  <c r="O85" i="42" s="1"/>
  <c r="O86" i="42" a="1"/>
  <c r="O86" i="42" s="1"/>
  <c r="O87" i="42" a="1"/>
  <c r="O87" i="42" s="1"/>
  <c r="O88" i="42" a="1"/>
  <c r="O88" i="42" s="1"/>
  <c r="O89" i="42" a="1"/>
  <c r="O89" i="42" s="1"/>
  <c r="O90" i="42" a="1"/>
  <c r="O90" i="42" s="1"/>
  <c r="O91" i="42" a="1"/>
  <c r="O91" i="42" s="1"/>
  <c r="O92" i="42" a="1"/>
  <c r="O92" i="42" s="1"/>
  <c r="O93" i="42" a="1"/>
  <c r="O93" i="42" s="1"/>
  <c r="O94" i="42" a="1"/>
  <c r="O94" i="42" s="1"/>
  <c r="O95" i="42" a="1"/>
  <c r="O95" i="42" s="1"/>
  <c r="O96" i="42" a="1"/>
  <c r="O96" i="42" s="1"/>
  <c r="O97" i="42" a="1"/>
  <c r="O97" i="42" s="1"/>
  <c r="O98" i="42" a="1"/>
  <c r="O98" i="42" s="1"/>
  <c r="O99" i="42" a="1"/>
  <c r="O99" i="42" s="1"/>
  <c r="O100" i="42" a="1"/>
  <c r="O100" i="42" s="1"/>
  <c r="O101" i="42" a="1"/>
  <c r="O101" i="42" s="1"/>
  <c r="O102" i="42" a="1"/>
  <c r="O102" i="42" s="1"/>
  <c r="O103" i="42" a="1"/>
  <c r="O103" i="42" s="1"/>
  <c r="O104" i="42" a="1"/>
  <c r="O104" i="42" s="1"/>
  <c r="O105" i="42" a="1"/>
  <c r="O105" i="42" s="1"/>
  <c r="O106" i="42" a="1"/>
  <c r="O106" i="42" s="1"/>
  <c r="O107" i="42" a="1"/>
  <c r="O107" i="42" s="1"/>
  <c r="O108" i="42" a="1"/>
  <c r="O108" i="42" s="1"/>
  <c r="O109" i="42" a="1"/>
  <c r="O109" i="42" s="1"/>
  <c r="O110" i="42" a="1"/>
  <c r="O110" i="42" s="1"/>
  <c r="O111" i="42" a="1"/>
  <c r="O111" i="42" s="1"/>
  <c r="O112" i="42" a="1"/>
  <c r="O112" i="42" s="1"/>
  <c r="O113" i="42" a="1"/>
  <c r="O113" i="42" s="1"/>
  <c r="O114" i="42" a="1"/>
  <c r="O114" i="42" s="1"/>
  <c r="O115" i="42" a="1"/>
  <c r="O115" i="42" s="1"/>
  <c r="O116" i="42" a="1"/>
  <c r="O116" i="42" s="1"/>
  <c r="O117" i="42" a="1"/>
  <c r="O117" i="42" s="1"/>
  <c r="O118" i="42" a="1"/>
  <c r="O118" i="42" s="1"/>
  <c r="O119" i="42" a="1"/>
  <c r="O119" i="42" s="1"/>
  <c r="O120" i="42" a="1"/>
  <c r="O120" i="42" s="1"/>
  <c r="O121" i="42" a="1"/>
  <c r="O121" i="42" s="1"/>
  <c r="X121" i="42" a="1"/>
  <c r="X121" i="42" s="1"/>
  <c r="W121" i="42" a="1"/>
  <c r="W121" i="42" s="1"/>
  <c r="V121" i="42" a="1"/>
  <c r="V121" i="42" s="1"/>
  <c r="U121" i="42" a="1"/>
  <c r="U121" i="42" s="1"/>
  <c r="T121" i="42" a="1"/>
  <c r="T121" i="42" s="1"/>
  <c r="S121" i="42" a="1"/>
  <c r="S121" i="42" s="1"/>
  <c r="R121" i="42" a="1"/>
  <c r="R121" i="42" s="1"/>
  <c r="Q121" i="42" a="1"/>
  <c r="Q121" i="42" s="1"/>
  <c r="P121" i="42" a="1"/>
  <c r="P121" i="42" s="1"/>
  <c r="X120" i="42" a="1"/>
  <c r="X120" i="42" s="1"/>
  <c r="W120" i="42" a="1"/>
  <c r="W120" i="42" s="1"/>
  <c r="V120" i="42" a="1"/>
  <c r="V120" i="42" s="1"/>
  <c r="U120" i="42" a="1"/>
  <c r="U120" i="42" s="1"/>
  <c r="T120" i="42" a="1"/>
  <c r="T120" i="42" s="1"/>
  <c r="S120" i="42" a="1"/>
  <c r="S120" i="42" s="1"/>
  <c r="R120" i="42" a="1"/>
  <c r="R120" i="42" s="1"/>
  <c r="Q120" i="42" a="1"/>
  <c r="Q120" i="42" s="1"/>
  <c r="P120" i="42" a="1"/>
  <c r="P120" i="42" s="1"/>
  <c r="X119" i="42" a="1"/>
  <c r="X119" i="42" s="1"/>
  <c r="W119" i="42" a="1"/>
  <c r="W119" i="42" s="1"/>
  <c r="V119" i="42" a="1"/>
  <c r="V119" i="42" s="1"/>
  <c r="U119" i="42" a="1"/>
  <c r="U119" i="42" s="1"/>
  <c r="T119" i="42" a="1"/>
  <c r="T119" i="42" s="1"/>
  <c r="S119" i="42" a="1"/>
  <c r="S119" i="42" s="1"/>
  <c r="R119" i="42" a="1"/>
  <c r="R119" i="42" s="1"/>
  <c r="Q119" i="42" a="1"/>
  <c r="Q119" i="42" s="1"/>
  <c r="P119" i="42" a="1"/>
  <c r="P119" i="42" s="1"/>
  <c r="X118" i="42" a="1"/>
  <c r="X118" i="42" s="1"/>
  <c r="W118" i="42" a="1"/>
  <c r="W118" i="42" s="1"/>
  <c r="V118" i="42" a="1"/>
  <c r="V118" i="42" s="1"/>
  <c r="U118" i="42" a="1"/>
  <c r="U118" i="42" s="1"/>
  <c r="T118" i="42" a="1"/>
  <c r="T118" i="42" s="1"/>
  <c r="S118" i="42" a="1"/>
  <c r="S118" i="42" s="1"/>
  <c r="R118" i="42" a="1"/>
  <c r="R118" i="42" s="1"/>
  <c r="Q118" i="42" a="1"/>
  <c r="Q118" i="42" s="1"/>
  <c r="P118" i="42" a="1"/>
  <c r="P118" i="42" s="1"/>
  <c r="X117" i="42" a="1"/>
  <c r="X117" i="42" s="1"/>
  <c r="W117" i="42" a="1"/>
  <c r="W117" i="42" s="1"/>
  <c r="V117" i="42" a="1"/>
  <c r="V117" i="42" s="1"/>
  <c r="U117" i="42" a="1"/>
  <c r="U117" i="42" s="1"/>
  <c r="T117" i="42" a="1"/>
  <c r="T117" i="42" s="1"/>
  <c r="S117" i="42" a="1"/>
  <c r="S117" i="42" s="1"/>
  <c r="R117" i="42" a="1"/>
  <c r="R117" i="42" s="1"/>
  <c r="Q117" i="42" a="1"/>
  <c r="Q117" i="42" s="1"/>
  <c r="P117" i="42" a="1"/>
  <c r="P117" i="42" s="1"/>
  <c r="X116" i="42" a="1"/>
  <c r="X116" i="42" s="1"/>
  <c r="W116" i="42" a="1"/>
  <c r="W116" i="42" s="1"/>
  <c r="V116" i="42" a="1"/>
  <c r="V116" i="42" s="1"/>
  <c r="U116" i="42" a="1"/>
  <c r="U116" i="42" s="1"/>
  <c r="T116" i="42" a="1"/>
  <c r="T116" i="42" s="1"/>
  <c r="S116" i="42" a="1"/>
  <c r="S116" i="42" s="1"/>
  <c r="R116" i="42" a="1"/>
  <c r="R116" i="42" s="1"/>
  <c r="Q116" i="42" a="1"/>
  <c r="Q116" i="42" s="1"/>
  <c r="P116" i="42" a="1"/>
  <c r="P116" i="42" s="1"/>
  <c r="X115" i="42" a="1"/>
  <c r="X115" i="42" s="1"/>
  <c r="W115" i="42" a="1"/>
  <c r="W115" i="42" s="1"/>
  <c r="V115" i="42" a="1"/>
  <c r="V115" i="42" s="1"/>
  <c r="U115" i="42" a="1"/>
  <c r="U115" i="42" s="1"/>
  <c r="T115" i="42" a="1"/>
  <c r="T115" i="42" s="1"/>
  <c r="S115" i="42" a="1"/>
  <c r="S115" i="42" s="1"/>
  <c r="R115" i="42" a="1"/>
  <c r="R115" i="42" s="1"/>
  <c r="Q115" i="42" a="1"/>
  <c r="Q115" i="42" s="1"/>
  <c r="P115" i="42" a="1"/>
  <c r="P115" i="42" s="1"/>
  <c r="X114" i="42" a="1"/>
  <c r="X114" i="42" s="1"/>
  <c r="W114" i="42" a="1"/>
  <c r="W114" i="42" s="1"/>
  <c r="V114" i="42" a="1"/>
  <c r="V114" i="42" s="1"/>
  <c r="U114" i="42" a="1"/>
  <c r="U114" i="42" s="1"/>
  <c r="T114" i="42" a="1"/>
  <c r="T114" i="42" s="1"/>
  <c r="S114" i="42" a="1"/>
  <c r="S114" i="42" s="1"/>
  <c r="R114" i="42" a="1"/>
  <c r="R114" i="42" s="1"/>
  <c r="Q114" i="42" a="1"/>
  <c r="Q114" i="42" s="1"/>
  <c r="P114" i="42" a="1"/>
  <c r="P114" i="42" s="1"/>
  <c r="X113" i="42" a="1"/>
  <c r="X113" i="42" s="1"/>
  <c r="W113" i="42" a="1"/>
  <c r="W113" i="42" s="1"/>
  <c r="V113" i="42" a="1"/>
  <c r="V113" i="42" s="1"/>
  <c r="U113" i="42" a="1"/>
  <c r="U113" i="42" s="1"/>
  <c r="T113" i="42" a="1"/>
  <c r="T113" i="42" s="1"/>
  <c r="S113" i="42" a="1"/>
  <c r="S113" i="42" s="1"/>
  <c r="R113" i="42" a="1"/>
  <c r="R113" i="42" s="1"/>
  <c r="Q113" i="42" a="1"/>
  <c r="Q113" i="42" s="1"/>
  <c r="P113" i="42" a="1"/>
  <c r="P113" i="42" s="1"/>
  <c r="X112" i="42" a="1"/>
  <c r="X112" i="42" s="1"/>
  <c r="W112" i="42" a="1"/>
  <c r="W112" i="42" s="1"/>
  <c r="V112" i="42" a="1"/>
  <c r="V112" i="42" s="1"/>
  <c r="U112" i="42" a="1"/>
  <c r="U112" i="42" s="1"/>
  <c r="T112" i="42" a="1"/>
  <c r="T112" i="42" s="1"/>
  <c r="S112" i="42" a="1"/>
  <c r="S112" i="42" s="1"/>
  <c r="R112" i="42" a="1"/>
  <c r="R112" i="42" s="1"/>
  <c r="Q112" i="42" a="1"/>
  <c r="Q112" i="42" s="1"/>
  <c r="P112" i="42" a="1"/>
  <c r="P112" i="42" s="1"/>
  <c r="X111" i="42" a="1"/>
  <c r="X111" i="42" s="1"/>
  <c r="W111" i="42" a="1"/>
  <c r="W111" i="42" s="1"/>
  <c r="V111" i="42" a="1"/>
  <c r="V111" i="42" s="1"/>
  <c r="U111" i="42" a="1"/>
  <c r="U111" i="42" s="1"/>
  <c r="T111" i="42" a="1"/>
  <c r="T111" i="42" s="1"/>
  <c r="S111" i="42" a="1"/>
  <c r="S111" i="42" s="1"/>
  <c r="R111" i="42" a="1"/>
  <c r="R111" i="42" s="1"/>
  <c r="Q111" i="42" a="1"/>
  <c r="Q111" i="42" s="1"/>
  <c r="P111" i="42" a="1"/>
  <c r="P111" i="42" s="1"/>
  <c r="X110" i="42" a="1"/>
  <c r="X110" i="42" s="1"/>
  <c r="W110" i="42" a="1"/>
  <c r="W110" i="42" s="1"/>
  <c r="V110" i="42" a="1"/>
  <c r="V110" i="42" s="1"/>
  <c r="U110" i="42" a="1"/>
  <c r="U110" i="42" s="1"/>
  <c r="T110" i="42" a="1"/>
  <c r="T110" i="42" s="1"/>
  <c r="S110" i="42" a="1"/>
  <c r="S110" i="42" s="1"/>
  <c r="R110" i="42" a="1"/>
  <c r="R110" i="42" s="1"/>
  <c r="Q110" i="42" a="1"/>
  <c r="Q110" i="42" s="1"/>
  <c r="P110" i="42" a="1"/>
  <c r="P110" i="42" s="1"/>
  <c r="X109" i="42" a="1"/>
  <c r="X109" i="42" s="1"/>
  <c r="W109" i="42" a="1"/>
  <c r="W109" i="42" s="1"/>
  <c r="V109" i="42" a="1"/>
  <c r="V109" i="42" s="1"/>
  <c r="U109" i="42" a="1"/>
  <c r="U109" i="42" s="1"/>
  <c r="T109" i="42" a="1"/>
  <c r="T109" i="42" s="1"/>
  <c r="S109" i="42" a="1"/>
  <c r="S109" i="42" s="1"/>
  <c r="R109" i="42" a="1"/>
  <c r="R109" i="42" s="1"/>
  <c r="Q109" i="42" a="1"/>
  <c r="Q109" i="42" s="1"/>
  <c r="P109" i="42" a="1"/>
  <c r="P109" i="42" s="1"/>
  <c r="X108" i="42" a="1"/>
  <c r="X108" i="42" s="1"/>
  <c r="W108" i="42" a="1"/>
  <c r="W108" i="42" s="1"/>
  <c r="V108" i="42" a="1"/>
  <c r="V108" i="42" s="1"/>
  <c r="U108" i="42" a="1"/>
  <c r="U108" i="42" s="1"/>
  <c r="T108" i="42" a="1"/>
  <c r="T108" i="42" s="1"/>
  <c r="S108" i="42" a="1"/>
  <c r="S108" i="42" s="1"/>
  <c r="R108" i="42" a="1"/>
  <c r="R108" i="42" s="1"/>
  <c r="Q108" i="42" a="1"/>
  <c r="Q108" i="42" s="1"/>
  <c r="P108" i="42" a="1"/>
  <c r="P108" i="42" s="1"/>
  <c r="X107" i="42" a="1"/>
  <c r="X107" i="42" s="1"/>
  <c r="W107" i="42" a="1"/>
  <c r="W107" i="42" s="1"/>
  <c r="V107" i="42" a="1"/>
  <c r="V107" i="42" s="1"/>
  <c r="U107" i="42" a="1"/>
  <c r="U107" i="42" s="1"/>
  <c r="T107" i="42" a="1"/>
  <c r="T107" i="42" s="1"/>
  <c r="S107" i="42" a="1"/>
  <c r="S107" i="42" s="1"/>
  <c r="R107" i="42" a="1"/>
  <c r="R107" i="42" s="1"/>
  <c r="Q107" i="42" a="1"/>
  <c r="Q107" i="42" s="1"/>
  <c r="P107" i="42" a="1"/>
  <c r="P107" i="42" s="1"/>
  <c r="X106" i="42" a="1"/>
  <c r="X106" i="42" s="1"/>
  <c r="W106" i="42" a="1"/>
  <c r="W106" i="42" s="1"/>
  <c r="V106" i="42" a="1"/>
  <c r="V106" i="42" s="1"/>
  <c r="U106" i="42" a="1"/>
  <c r="U106" i="42" s="1"/>
  <c r="T106" i="42" a="1"/>
  <c r="T106" i="42" s="1"/>
  <c r="S106" i="42" a="1"/>
  <c r="S106" i="42" s="1"/>
  <c r="R106" i="42" a="1"/>
  <c r="R106" i="42" s="1"/>
  <c r="Q106" i="42" a="1"/>
  <c r="Q106" i="42" s="1"/>
  <c r="P106" i="42" a="1"/>
  <c r="P106" i="42" s="1"/>
  <c r="X105" i="42" a="1"/>
  <c r="X105" i="42" s="1"/>
  <c r="W105" i="42" a="1"/>
  <c r="W105" i="42" s="1"/>
  <c r="V105" i="42" a="1"/>
  <c r="V105" i="42" s="1"/>
  <c r="U105" i="42" a="1"/>
  <c r="U105" i="42" s="1"/>
  <c r="T105" i="42" a="1"/>
  <c r="T105" i="42" s="1"/>
  <c r="S105" i="42" a="1"/>
  <c r="S105" i="42" s="1"/>
  <c r="R105" i="42" a="1"/>
  <c r="R105" i="42" s="1"/>
  <c r="Q105" i="42" a="1"/>
  <c r="Q105" i="42" s="1"/>
  <c r="P105" i="42" a="1"/>
  <c r="P105" i="42" s="1"/>
  <c r="X104" i="42" a="1"/>
  <c r="X104" i="42" s="1"/>
  <c r="W104" i="42" a="1"/>
  <c r="W104" i="42" s="1"/>
  <c r="V104" i="42" a="1"/>
  <c r="V104" i="42" s="1"/>
  <c r="U104" i="42" a="1"/>
  <c r="U104" i="42" s="1"/>
  <c r="T104" i="42" a="1"/>
  <c r="T104" i="42" s="1"/>
  <c r="S104" i="42" a="1"/>
  <c r="S104" i="42" s="1"/>
  <c r="R104" i="42" a="1"/>
  <c r="R104" i="42" s="1"/>
  <c r="Q104" i="42" a="1"/>
  <c r="Q104" i="42" s="1"/>
  <c r="P104" i="42" a="1"/>
  <c r="P104" i="42" s="1"/>
  <c r="X103" i="42" a="1"/>
  <c r="X103" i="42" s="1"/>
  <c r="W103" i="42" a="1"/>
  <c r="W103" i="42" s="1"/>
  <c r="V103" i="42" a="1"/>
  <c r="V103" i="42" s="1"/>
  <c r="U103" i="42" a="1"/>
  <c r="U103" i="42" s="1"/>
  <c r="T103" i="42" a="1"/>
  <c r="T103" i="42" s="1"/>
  <c r="S103" i="42" a="1"/>
  <c r="S103" i="42" s="1"/>
  <c r="R103" i="42" a="1"/>
  <c r="R103" i="42" s="1"/>
  <c r="Q103" i="42" a="1"/>
  <c r="Q103" i="42" s="1"/>
  <c r="P103" i="42" a="1"/>
  <c r="P103" i="42" s="1"/>
  <c r="X102" i="42" a="1"/>
  <c r="X102" i="42" s="1"/>
  <c r="W102" i="42" a="1"/>
  <c r="W102" i="42" s="1"/>
  <c r="V102" i="42" a="1"/>
  <c r="V102" i="42" s="1"/>
  <c r="U102" i="42" a="1"/>
  <c r="U102" i="42" s="1"/>
  <c r="T102" i="42" a="1"/>
  <c r="T102" i="42" s="1"/>
  <c r="S102" i="42" a="1"/>
  <c r="S102" i="42" s="1"/>
  <c r="R102" i="42" a="1"/>
  <c r="R102" i="42" s="1"/>
  <c r="Q102" i="42" a="1"/>
  <c r="Q102" i="42" s="1"/>
  <c r="P102" i="42" a="1"/>
  <c r="P102" i="42" s="1"/>
  <c r="X101" i="42" a="1"/>
  <c r="X101" i="42" s="1"/>
  <c r="W101" i="42" a="1"/>
  <c r="W101" i="42" s="1"/>
  <c r="V101" i="42" a="1"/>
  <c r="V101" i="42" s="1"/>
  <c r="U101" i="42" a="1"/>
  <c r="U101" i="42" s="1"/>
  <c r="T101" i="42" a="1"/>
  <c r="T101" i="42" s="1"/>
  <c r="S101" i="42" a="1"/>
  <c r="S101" i="42" s="1"/>
  <c r="R101" i="42" a="1"/>
  <c r="R101" i="42" s="1"/>
  <c r="Q101" i="42" a="1"/>
  <c r="Q101" i="42" s="1"/>
  <c r="P101" i="42" a="1"/>
  <c r="P101" i="42" s="1"/>
  <c r="X100" i="42" a="1"/>
  <c r="X100" i="42" s="1"/>
  <c r="W100" i="42" a="1"/>
  <c r="W100" i="42" s="1"/>
  <c r="V100" i="42" a="1"/>
  <c r="V100" i="42" s="1"/>
  <c r="U100" i="42" a="1"/>
  <c r="U100" i="42" s="1"/>
  <c r="T100" i="42" a="1"/>
  <c r="T100" i="42" s="1"/>
  <c r="S100" i="42" a="1"/>
  <c r="S100" i="42" s="1"/>
  <c r="R100" i="42" a="1"/>
  <c r="R100" i="42" s="1"/>
  <c r="Q100" i="42" a="1"/>
  <c r="Q100" i="42" s="1"/>
  <c r="P100" i="42" a="1"/>
  <c r="P100" i="42" s="1"/>
  <c r="X99" i="42" a="1"/>
  <c r="X99" i="42" s="1"/>
  <c r="W99" i="42" a="1"/>
  <c r="W99" i="42" s="1"/>
  <c r="V99" i="42" a="1"/>
  <c r="V99" i="42" s="1"/>
  <c r="U99" i="42" a="1"/>
  <c r="U99" i="42" s="1"/>
  <c r="T99" i="42" a="1"/>
  <c r="T99" i="42" s="1"/>
  <c r="S99" i="42" a="1"/>
  <c r="S99" i="42" s="1"/>
  <c r="R99" i="42" a="1"/>
  <c r="R99" i="42" s="1"/>
  <c r="Q99" i="42" a="1"/>
  <c r="Q99" i="42" s="1"/>
  <c r="P99" i="42" a="1"/>
  <c r="P99" i="42" s="1"/>
  <c r="X98" i="42" a="1"/>
  <c r="X98" i="42" s="1"/>
  <c r="W98" i="42" a="1"/>
  <c r="W98" i="42" s="1"/>
  <c r="V98" i="42" a="1"/>
  <c r="V98" i="42" s="1"/>
  <c r="U98" i="42" a="1"/>
  <c r="U98" i="42" s="1"/>
  <c r="T98" i="42" a="1"/>
  <c r="T98" i="42" s="1"/>
  <c r="S98" i="42" a="1"/>
  <c r="S98" i="42" s="1"/>
  <c r="R98" i="42" a="1"/>
  <c r="R98" i="42" s="1"/>
  <c r="Q98" i="42" a="1"/>
  <c r="Q98" i="42" s="1"/>
  <c r="P98" i="42" a="1"/>
  <c r="P98" i="42" s="1"/>
  <c r="X97" i="42" a="1"/>
  <c r="X97" i="42" s="1"/>
  <c r="W97" i="42" a="1"/>
  <c r="W97" i="42" s="1"/>
  <c r="V97" i="42" a="1"/>
  <c r="V97" i="42" s="1"/>
  <c r="U97" i="42" a="1"/>
  <c r="U97" i="42" s="1"/>
  <c r="T97" i="42" a="1"/>
  <c r="T97" i="42" s="1"/>
  <c r="S97" i="42" a="1"/>
  <c r="S97" i="42" s="1"/>
  <c r="R97" i="42" a="1"/>
  <c r="R97" i="42" s="1"/>
  <c r="Q97" i="42" a="1"/>
  <c r="Q97" i="42" s="1"/>
  <c r="P97" i="42" a="1"/>
  <c r="P97" i="42" s="1"/>
  <c r="X96" i="42" a="1"/>
  <c r="X96" i="42" s="1"/>
  <c r="W96" i="42" a="1"/>
  <c r="W96" i="42" s="1"/>
  <c r="V96" i="42" a="1"/>
  <c r="V96" i="42" s="1"/>
  <c r="U96" i="42" a="1"/>
  <c r="U96" i="42" s="1"/>
  <c r="T96" i="42" a="1"/>
  <c r="T96" i="42" s="1"/>
  <c r="S96" i="42" a="1"/>
  <c r="S96" i="42" s="1"/>
  <c r="R96" i="42" a="1"/>
  <c r="R96" i="42" s="1"/>
  <c r="Q96" i="42" a="1"/>
  <c r="Q96" i="42" s="1"/>
  <c r="P96" i="42" a="1"/>
  <c r="P96" i="42" s="1"/>
  <c r="X95" i="42" a="1"/>
  <c r="X95" i="42" s="1"/>
  <c r="W95" i="42" a="1"/>
  <c r="W95" i="42" s="1"/>
  <c r="V95" i="42" a="1"/>
  <c r="V95" i="42" s="1"/>
  <c r="U95" i="42" a="1"/>
  <c r="U95" i="42" s="1"/>
  <c r="T95" i="42" a="1"/>
  <c r="T95" i="42" s="1"/>
  <c r="S95" i="42" a="1"/>
  <c r="S95" i="42" s="1"/>
  <c r="R95" i="42" a="1"/>
  <c r="R95" i="42" s="1"/>
  <c r="Q95" i="42" a="1"/>
  <c r="Q95" i="42" s="1"/>
  <c r="P95" i="42" a="1"/>
  <c r="P95" i="42" s="1"/>
  <c r="X94" i="42" a="1"/>
  <c r="X94" i="42" s="1"/>
  <c r="W94" i="42" a="1"/>
  <c r="W94" i="42" s="1"/>
  <c r="V94" i="42" a="1"/>
  <c r="V94" i="42" s="1"/>
  <c r="U94" i="42" a="1"/>
  <c r="U94" i="42" s="1"/>
  <c r="T94" i="42" a="1"/>
  <c r="T94" i="42" s="1"/>
  <c r="S94" i="42" a="1"/>
  <c r="S94" i="42" s="1"/>
  <c r="R94" i="42" a="1"/>
  <c r="R94" i="42" s="1"/>
  <c r="Q94" i="42" a="1"/>
  <c r="Q94" i="42" s="1"/>
  <c r="P94" i="42" a="1"/>
  <c r="P94" i="42" s="1"/>
  <c r="X93" i="42" a="1"/>
  <c r="X93" i="42" s="1"/>
  <c r="W93" i="42" a="1"/>
  <c r="W93" i="42" s="1"/>
  <c r="V93" i="42" a="1"/>
  <c r="V93" i="42" s="1"/>
  <c r="U93" i="42" a="1"/>
  <c r="U93" i="42" s="1"/>
  <c r="T93" i="42" a="1"/>
  <c r="T93" i="42" s="1"/>
  <c r="S93" i="42" a="1"/>
  <c r="S93" i="42" s="1"/>
  <c r="R93" i="42" a="1"/>
  <c r="R93" i="42" s="1"/>
  <c r="Q93" i="42" a="1"/>
  <c r="Q93" i="42" s="1"/>
  <c r="P93" i="42" a="1"/>
  <c r="P93" i="42" s="1"/>
  <c r="X92" i="42" a="1"/>
  <c r="X92" i="42" s="1"/>
  <c r="W92" i="42" a="1"/>
  <c r="W92" i="42" s="1"/>
  <c r="V92" i="42" a="1"/>
  <c r="V92" i="42" s="1"/>
  <c r="U92" i="42" a="1"/>
  <c r="U92" i="42" s="1"/>
  <c r="T92" i="42" a="1"/>
  <c r="T92" i="42" s="1"/>
  <c r="S92" i="42" a="1"/>
  <c r="S92" i="42" s="1"/>
  <c r="R92" i="42" a="1"/>
  <c r="R92" i="42" s="1"/>
  <c r="Q92" i="42" a="1"/>
  <c r="Q92" i="42" s="1"/>
  <c r="P92" i="42" a="1"/>
  <c r="P92" i="42" s="1"/>
  <c r="X91" i="42" a="1"/>
  <c r="X91" i="42" s="1"/>
  <c r="W91" i="42" a="1"/>
  <c r="W91" i="42" s="1"/>
  <c r="V91" i="42" a="1"/>
  <c r="V91" i="42" s="1"/>
  <c r="U91" i="42" a="1"/>
  <c r="U91" i="42" s="1"/>
  <c r="T91" i="42" a="1"/>
  <c r="T91" i="42" s="1"/>
  <c r="S91" i="42" a="1"/>
  <c r="S91" i="42" s="1"/>
  <c r="R91" i="42" a="1"/>
  <c r="R91" i="42" s="1"/>
  <c r="Q91" i="42" a="1"/>
  <c r="Q91" i="42" s="1"/>
  <c r="P91" i="42" a="1"/>
  <c r="P91" i="42" s="1"/>
  <c r="X90" i="42" a="1"/>
  <c r="X90" i="42" s="1"/>
  <c r="W90" i="42" a="1"/>
  <c r="W90" i="42" s="1"/>
  <c r="V90" i="42" a="1"/>
  <c r="V90" i="42" s="1"/>
  <c r="U90" i="42" a="1"/>
  <c r="U90" i="42" s="1"/>
  <c r="T90" i="42" a="1"/>
  <c r="T90" i="42" s="1"/>
  <c r="S90" i="42" a="1"/>
  <c r="S90" i="42" s="1"/>
  <c r="R90" i="42" a="1"/>
  <c r="R90" i="42" s="1"/>
  <c r="Q90" i="42" a="1"/>
  <c r="Q90" i="42" s="1"/>
  <c r="P90" i="42" a="1"/>
  <c r="P90" i="42" s="1"/>
  <c r="X89" i="42" a="1"/>
  <c r="X89" i="42" s="1"/>
  <c r="W89" i="42" a="1"/>
  <c r="W89" i="42" s="1"/>
  <c r="V89" i="42" a="1"/>
  <c r="V89" i="42" s="1"/>
  <c r="U89" i="42" a="1"/>
  <c r="U89" i="42" s="1"/>
  <c r="T89" i="42" a="1"/>
  <c r="T89" i="42" s="1"/>
  <c r="S89" i="42" a="1"/>
  <c r="S89" i="42" s="1"/>
  <c r="R89" i="42" a="1"/>
  <c r="R89" i="42" s="1"/>
  <c r="Q89" i="42" a="1"/>
  <c r="Q89" i="42" s="1"/>
  <c r="P89" i="42" a="1"/>
  <c r="P89" i="42" s="1"/>
  <c r="X88" i="42" a="1"/>
  <c r="X88" i="42" s="1"/>
  <c r="W88" i="42" a="1"/>
  <c r="W88" i="42" s="1"/>
  <c r="V88" i="42" a="1"/>
  <c r="V88" i="42" s="1"/>
  <c r="U88" i="42" a="1"/>
  <c r="U88" i="42" s="1"/>
  <c r="T88" i="42" a="1"/>
  <c r="T88" i="42" s="1"/>
  <c r="S88" i="42" a="1"/>
  <c r="S88" i="42" s="1"/>
  <c r="R88" i="42" a="1"/>
  <c r="R88" i="42" s="1"/>
  <c r="Q88" i="42" a="1"/>
  <c r="Q88" i="42" s="1"/>
  <c r="P88" i="42" a="1"/>
  <c r="P88" i="42" s="1"/>
  <c r="X87" i="42" a="1"/>
  <c r="X87" i="42" s="1"/>
  <c r="W87" i="42" a="1"/>
  <c r="W87" i="42" s="1"/>
  <c r="V87" i="42" a="1"/>
  <c r="V87" i="42" s="1"/>
  <c r="U87" i="42" a="1"/>
  <c r="U87" i="42" s="1"/>
  <c r="T87" i="42" a="1"/>
  <c r="T87" i="42" s="1"/>
  <c r="S87" i="42" a="1"/>
  <c r="S87" i="42" s="1"/>
  <c r="R87" i="42" a="1"/>
  <c r="R87" i="42" s="1"/>
  <c r="Q87" i="42" a="1"/>
  <c r="Q87" i="42" s="1"/>
  <c r="P87" i="42" a="1"/>
  <c r="P87" i="42" s="1"/>
  <c r="X86" i="42" a="1"/>
  <c r="X86" i="42" s="1"/>
  <c r="W86" i="42" a="1"/>
  <c r="W86" i="42" s="1"/>
  <c r="V86" i="42" a="1"/>
  <c r="V86" i="42" s="1"/>
  <c r="U86" i="42" a="1"/>
  <c r="U86" i="42" s="1"/>
  <c r="T86" i="42" a="1"/>
  <c r="T86" i="42" s="1"/>
  <c r="S86" i="42" a="1"/>
  <c r="S86" i="42" s="1"/>
  <c r="R86" i="42" a="1"/>
  <c r="R86" i="42" s="1"/>
  <c r="Q86" i="42" a="1"/>
  <c r="Q86" i="42" s="1"/>
  <c r="P86" i="42" a="1"/>
  <c r="P86" i="42" s="1"/>
  <c r="X85" i="42" a="1"/>
  <c r="X85" i="42" s="1"/>
  <c r="W85" i="42" a="1"/>
  <c r="W85" i="42" s="1"/>
  <c r="V85" i="42" a="1"/>
  <c r="V85" i="42" s="1"/>
  <c r="U85" i="42" a="1"/>
  <c r="U85" i="42" s="1"/>
  <c r="T85" i="42" a="1"/>
  <c r="T85" i="42" s="1"/>
  <c r="S85" i="42" a="1"/>
  <c r="S85" i="42" s="1"/>
  <c r="R85" i="42" a="1"/>
  <c r="R85" i="42" s="1"/>
  <c r="Q85" i="42" a="1"/>
  <c r="Q85" i="42" s="1"/>
  <c r="P85" i="42" a="1"/>
  <c r="P85" i="42" s="1"/>
  <c r="X84" i="42" a="1"/>
  <c r="X84" i="42" s="1"/>
  <c r="W84" i="42" a="1"/>
  <c r="W84" i="42" s="1"/>
  <c r="V84" i="42" a="1"/>
  <c r="V84" i="42" s="1"/>
  <c r="U84" i="42" a="1"/>
  <c r="U84" i="42" s="1"/>
  <c r="T84" i="42" a="1"/>
  <c r="T84" i="42" s="1"/>
  <c r="S84" i="42" a="1"/>
  <c r="S84" i="42" s="1"/>
  <c r="R84" i="42" a="1"/>
  <c r="R84" i="42" s="1"/>
  <c r="Q84" i="42" a="1"/>
  <c r="Q84" i="42" s="1"/>
  <c r="P84" i="42" a="1"/>
  <c r="P84" i="42" s="1"/>
  <c r="X83" i="42" a="1"/>
  <c r="X83" i="42" s="1"/>
  <c r="W83" i="42" a="1"/>
  <c r="W83" i="42" s="1"/>
  <c r="V83" i="42" a="1"/>
  <c r="V83" i="42" s="1"/>
  <c r="U83" i="42" a="1"/>
  <c r="U83" i="42" s="1"/>
  <c r="T83" i="42" a="1"/>
  <c r="T83" i="42" s="1"/>
  <c r="S83" i="42" a="1"/>
  <c r="S83" i="42" s="1"/>
  <c r="R83" i="42" a="1"/>
  <c r="R83" i="42" s="1"/>
  <c r="Q83" i="42" a="1"/>
  <c r="Q83" i="42" s="1"/>
  <c r="P83" i="42" a="1"/>
  <c r="P83" i="42" s="1"/>
  <c r="X82" i="42" a="1"/>
  <c r="X82" i="42" s="1"/>
  <c r="W82" i="42" a="1"/>
  <c r="W82" i="42" s="1"/>
  <c r="V82" i="42" a="1"/>
  <c r="V82" i="42" s="1"/>
  <c r="U82" i="42" a="1"/>
  <c r="U82" i="42" s="1"/>
  <c r="T82" i="42" a="1"/>
  <c r="T82" i="42" s="1"/>
  <c r="S82" i="42" a="1"/>
  <c r="S82" i="42" s="1"/>
  <c r="R82" i="42" a="1"/>
  <c r="R82" i="42" s="1"/>
  <c r="Q82" i="42" a="1"/>
  <c r="Q82" i="42" s="1"/>
  <c r="P82" i="42" a="1"/>
  <c r="P82" i="42" s="1"/>
  <c r="X81" i="42" a="1"/>
  <c r="X81" i="42" s="1"/>
  <c r="W81" i="42" a="1"/>
  <c r="W81" i="42" s="1"/>
  <c r="V81" i="42" a="1"/>
  <c r="V81" i="42" s="1"/>
  <c r="U81" i="42" a="1"/>
  <c r="U81" i="42" s="1"/>
  <c r="T81" i="42" a="1"/>
  <c r="T81" i="42" s="1"/>
  <c r="S81" i="42" a="1"/>
  <c r="S81" i="42" s="1"/>
  <c r="R81" i="42" a="1"/>
  <c r="R81" i="42" s="1"/>
  <c r="Q81" i="42" a="1"/>
  <c r="Q81" i="42" s="1"/>
  <c r="P81" i="42" a="1"/>
  <c r="P81" i="42" s="1"/>
  <c r="X80" i="42" a="1"/>
  <c r="X80" i="42" s="1"/>
  <c r="W80" i="42" a="1"/>
  <c r="W80" i="42" s="1"/>
  <c r="V80" i="42" a="1"/>
  <c r="V80" i="42" s="1"/>
  <c r="U80" i="42" a="1"/>
  <c r="U80" i="42" s="1"/>
  <c r="T80" i="42" a="1"/>
  <c r="T80" i="42" s="1"/>
  <c r="S80" i="42" a="1"/>
  <c r="S80" i="42" s="1"/>
  <c r="R80" i="42" a="1"/>
  <c r="R80" i="42" s="1"/>
  <c r="Q80" i="42" a="1"/>
  <c r="Q80" i="42" s="1"/>
  <c r="P80" i="42" a="1"/>
  <c r="P80" i="42" s="1"/>
  <c r="X79" i="42" a="1"/>
  <c r="X79" i="42" s="1"/>
  <c r="W79" i="42" a="1"/>
  <c r="W79" i="42" s="1"/>
  <c r="V79" i="42" a="1"/>
  <c r="V79" i="42" s="1"/>
  <c r="U79" i="42" a="1"/>
  <c r="U79" i="42" s="1"/>
  <c r="T79" i="42" a="1"/>
  <c r="T79" i="42" s="1"/>
  <c r="S79" i="42" a="1"/>
  <c r="S79" i="42" s="1"/>
  <c r="R79" i="42" a="1"/>
  <c r="R79" i="42" s="1"/>
  <c r="Q79" i="42" a="1"/>
  <c r="Q79" i="42" s="1"/>
  <c r="P79" i="42" a="1"/>
  <c r="P79" i="42" s="1"/>
  <c r="X78" i="42" a="1"/>
  <c r="X78" i="42" s="1"/>
  <c r="W78" i="42" a="1"/>
  <c r="W78" i="42" s="1"/>
  <c r="V78" i="42" a="1"/>
  <c r="V78" i="42" s="1"/>
  <c r="U78" i="42" a="1"/>
  <c r="U78" i="42" s="1"/>
  <c r="T78" i="42" a="1"/>
  <c r="T78" i="42" s="1"/>
  <c r="S78" i="42" a="1"/>
  <c r="S78" i="42" s="1"/>
  <c r="R78" i="42" a="1"/>
  <c r="R78" i="42" s="1"/>
  <c r="Q78" i="42" a="1"/>
  <c r="Q78" i="42" s="1"/>
  <c r="P78" i="42" a="1"/>
  <c r="P78" i="42" s="1"/>
  <c r="X77" i="42" a="1"/>
  <c r="X77" i="42" s="1"/>
  <c r="W77" i="42" a="1"/>
  <c r="W77" i="42" s="1"/>
  <c r="V77" i="42" a="1"/>
  <c r="V77" i="42" s="1"/>
  <c r="U77" i="42" a="1"/>
  <c r="U77" i="42" s="1"/>
  <c r="T77" i="42" a="1"/>
  <c r="T77" i="42" s="1"/>
  <c r="S77" i="42" a="1"/>
  <c r="S77" i="42" s="1"/>
  <c r="R77" i="42" a="1"/>
  <c r="R77" i="42" s="1"/>
  <c r="Q77" i="42" a="1"/>
  <c r="Q77" i="42" s="1"/>
  <c r="P77" i="42" a="1"/>
  <c r="P77" i="42" s="1"/>
  <c r="X76" i="42" a="1"/>
  <c r="X76" i="42" s="1"/>
  <c r="W76" i="42" a="1"/>
  <c r="W76" i="42" s="1"/>
  <c r="V76" i="42" a="1"/>
  <c r="V76" i="42" s="1"/>
  <c r="U76" i="42" a="1"/>
  <c r="U76" i="42" s="1"/>
  <c r="T76" i="42" a="1"/>
  <c r="T76" i="42" s="1"/>
  <c r="S76" i="42" a="1"/>
  <c r="S76" i="42" s="1"/>
  <c r="R76" i="42" a="1"/>
  <c r="R76" i="42" s="1"/>
  <c r="Q76" i="42" a="1"/>
  <c r="Q76" i="42" s="1"/>
  <c r="P76" i="42" a="1"/>
  <c r="P76" i="42" s="1"/>
  <c r="X75" i="42" a="1"/>
  <c r="X75" i="42" s="1"/>
  <c r="W75" i="42" a="1"/>
  <c r="W75" i="42" s="1"/>
  <c r="V75" i="42" a="1"/>
  <c r="V75" i="42" s="1"/>
  <c r="U75" i="42" a="1"/>
  <c r="U75" i="42" s="1"/>
  <c r="T75" i="42" a="1"/>
  <c r="T75" i="42" s="1"/>
  <c r="S75" i="42" a="1"/>
  <c r="S75" i="42" s="1"/>
  <c r="R75" i="42" a="1"/>
  <c r="R75" i="42" s="1"/>
  <c r="Q75" i="42" a="1"/>
  <c r="Q75" i="42" s="1"/>
  <c r="P75" i="42" a="1"/>
  <c r="P75" i="42" s="1"/>
  <c r="X74" i="42" a="1"/>
  <c r="X74" i="42" s="1"/>
  <c r="W74" i="42" a="1"/>
  <c r="W74" i="42" s="1"/>
  <c r="V74" i="42" a="1"/>
  <c r="V74" i="42" s="1"/>
  <c r="U74" i="42" a="1"/>
  <c r="U74" i="42" s="1"/>
  <c r="T74" i="42" a="1"/>
  <c r="T74" i="42" s="1"/>
  <c r="S74" i="42" a="1"/>
  <c r="S74" i="42" s="1"/>
  <c r="R74" i="42" a="1"/>
  <c r="R74" i="42" s="1"/>
  <c r="Q74" i="42" a="1"/>
  <c r="Q74" i="42" s="1"/>
  <c r="P74" i="42" a="1"/>
  <c r="P74" i="42" s="1"/>
  <c r="X73" i="42" a="1"/>
  <c r="X73" i="42" s="1"/>
  <c r="W73" i="42" a="1"/>
  <c r="W73" i="42" s="1"/>
  <c r="V73" i="42" a="1"/>
  <c r="V73" i="42" s="1"/>
  <c r="U73" i="42" a="1"/>
  <c r="U73" i="42" s="1"/>
  <c r="T73" i="42" a="1"/>
  <c r="T73" i="42" s="1"/>
  <c r="S73" i="42" a="1"/>
  <c r="S73" i="42" s="1"/>
  <c r="R73" i="42" a="1"/>
  <c r="R73" i="42" s="1"/>
  <c r="Q73" i="42" a="1"/>
  <c r="Q73" i="42" s="1"/>
  <c r="P73" i="42" a="1"/>
  <c r="P73" i="42" s="1"/>
  <c r="X72" i="42" a="1"/>
  <c r="X72" i="42" s="1"/>
  <c r="W72" i="42" a="1"/>
  <c r="W72" i="42" s="1"/>
  <c r="V72" i="42" a="1"/>
  <c r="V72" i="42" s="1"/>
  <c r="U72" i="42" a="1"/>
  <c r="U72" i="42" s="1"/>
  <c r="T72" i="42" a="1"/>
  <c r="T72" i="42" s="1"/>
  <c r="S72" i="42" a="1"/>
  <c r="S72" i="42" s="1"/>
  <c r="R72" i="42" a="1"/>
  <c r="R72" i="42" s="1"/>
  <c r="Q72" i="42" a="1"/>
  <c r="Q72" i="42" s="1"/>
  <c r="P72" i="42" a="1"/>
  <c r="P72" i="42" s="1"/>
  <c r="X71" i="42" a="1"/>
  <c r="X71" i="42" s="1"/>
  <c r="W71" i="42" a="1"/>
  <c r="W71" i="42" s="1"/>
  <c r="V71" i="42" a="1"/>
  <c r="V71" i="42" s="1"/>
  <c r="U71" i="42" a="1"/>
  <c r="U71" i="42" s="1"/>
  <c r="T71" i="42" a="1"/>
  <c r="T71" i="42" s="1"/>
  <c r="S71" i="42" a="1"/>
  <c r="S71" i="42" s="1"/>
  <c r="R71" i="42" a="1"/>
  <c r="R71" i="42" s="1"/>
  <c r="Q71" i="42" a="1"/>
  <c r="Q71" i="42" s="1"/>
  <c r="P71" i="42" a="1"/>
  <c r="P71" i="42" s="1"/>
  <c r="X70" i="42" a="1"/>
  <c r="X70" i="42" s="1"/>
  <c r="W70" i="42" a="1"/>
  <c r="W70" i="42" s="1"/>
  <c r="V70" i="42" a="1"/>
  <c r="V70" i="42" s="1"/>
  <c r="U70" i="42" a="1"/>
  <c r="U70" i="42" s="1"/>
  <c r="T70" i="42" a="1"/>
  <c r="T70" i="42" s="1"/>
  <c r="S70" i="42" a="1"/>
  <c r="S70" i="42" s="1"/>
  <c r="R70" i="42" a="1"/>
  <c r="R70" i="42" s="1"/>
  <c r="Q70" i="42" a="1"/>
  <c r="Q70" i="42" s="1"/>
  <c r="P70" i="42" a="1"/>
  <c r="P70" i="42" s="1"/>
  <c r="X69" i="42" a="1"/>
  <c r="X69" i="42" s="1"/>
  <c r="W69" i="42" a="1"/>
  <c r="W69" i="42" s="1"/>
  <c r="V69" i="42" a="1"/>
  <c r="V69" i="42" s="1"/>
  <c r="U69" i="42" a="1"/>
  <c r="U69" i="42" s="1"/>
  <c r="T69" i="42" a="1"/>
  <c r="T69" i="42" s="1"/>
  <c r="S69" i="42" a="1"/>
  <c r="S69" i="42" s="1"/>
  <c r="R69" i="42" a="1"/>
  <c r="R69" i="42" s="1"/>
  <c r="Q69" i="42" a="1"/>
  <c r="Q69" i="42" s="1"/>
  <c r="P69" i="42" a="1"/>
  <c r="P69" i="42" s="1"/>
  <c r="X68" i="42" a="1"/>
  <c r="X68" i="42" s="1"/>
  <c r="W68" i="42" a="1"/>
  <c r="W68" i="42" s="1"/>
  <c r="V68" i="42" a="1"/>
  <c r="V68" i="42" s="1"/>
  <c r="U68" i="42" a="1"/>
  <c r="U68" i="42" s="1"/>
  <c r="T68" i="42" a="1"/>
  <c r="T68" i="42" s="1"/>
  <c r="S68" i="42" a="1"/>
  <c r="S68" i="42" s="1"/>
  <c r="R68" i="42" a="1"/>
  <c r="R68" i="42" s="1"/>
  <c r="Q68" i="42" a="1"/>
  <c r="Q68" i="42" s="1"/>
  <c r="P68" i="42" a="1"/>
  <c r="P68" i="42" s="1"/>
  <c r="X67" i="42" a="1"/>
  <c r="X67" i="42" s="1"/>
  <c r="W67" i="42" a="1"/>
  <c r="W67" i="42" s="1"/>
  <c r="V67" i="42" a="1"/>
  <c r="V67" i="42" s="1"/>
  <c r="U67" i="42" a="1"/>
  <c r="U67" i="42" s="1"/>
  <c r="T67" i="42" a="1"/>
  <c r="T67" i="42" s="1"/>
  <c r="S67" i="42" a="1"/>
  <c r="S67" i="42" s="1"/>
  <c r="R67" i="42" a="1"/>
  <c r="R67" i="42" s="1"/>
  <c r="Q67" i="42" a="1"/>
  <c r="Q67" i="42" s="1"/>
  <c r="P67" i="42" a="1"/>
  <c r="P67" i="42" s="1"/>
  <c r="X66" i="42" a="1"/>
  <c r="X66" i="42" s="1"/>
  <c r="W66" i="42" a="1"/>
  <c r="W66" i="42" s="1"/>
  <c r="V66" i="42" a="1"/>
  <c r="V66" i="42" s="1"/>
  <c r="U66" i="42" a="1"/>
  <c r="U66" i="42" s="1"/>
  <c r="T66" i="42" a="1"/>
  <c r="T66" i="42" s="1"/>
  <c r="S66" i="42" a="1"/>
  <c r="S66" i="42" s="1"/>
  <c r="R66" i="42" a="1"/>
  <c r="R66" i="42" s="1"/>
  <c r="Q66" i="42" a="1"/>
  <c r="Q66" i="42" s="1"/>
  <c r="P66" i="42" a="1"/>
  <c r="P66" i="42" s="1"/>
  <c r="X65" i="42" a="1"/>
  <c r="X65" i="42" s="1"/>
  <c r="W65" i="42" a="1"/>
  <c r="W65" i="42" s="1"/>
  <c r="V65" i="42" a="1"/>
  <c r="V65" i="42" s="1"/>
  <c r="U65" i="42" a="1"/>
  <c r="U65" i="42" s="1"/>
  <c r="T65" i="42" a="1"/>
  <c r="T65" i="42" s="1"/>
  <c r="S65" i="42" a="1"/>
  <c r="S65" i="42" s="1"/>
  <c r="R65" i="42" a="1"/>
  <c r="R65" i="42" s="1"/>
  <c r="Q65" i="42" a="1"/>
  <c r="Q65" i="42" s="1"/>
  <c r="P65" i="42" a="1"/>
  <c r="P65" i="42" s="1"/>
  <c r="X64" i="42" a="1"/>
  <c r="X64" i="42" s="1"/>
  <c r="W64" i="42" a="1"/>
  <c r="W64" i="42" s="1"/>
  <c r="V64" i="42" a="1"/>
  <c r="V64" i="42" s="1"/>
  <c r="U64" i="42" a="1"/>
  <c r="U64" i="42" s="1"/>
  <c r="T64" i="42" a="1"/>
  <c r="T64" i="42" s="1"/>
  <c r="S64" i="42" a="1"/>
  <c r="S64" i="42" s="1"/>
  <c r="R64" i="42" a="1"/>
  <c r="R64" i="42" s="1"/>
  <c r="Q64" i="42" a="1"/>
  <c r="Q64" i="42" s="1"/>
  <c r="P64" i="42" a="1"/>
  <c r="P64" i="42" s="1"/>
  <c r="X63" i="42" a="1"/>
  <c r="X63" i="42" s="1"/>
  <c r="W63" i="42" a="1"/>
  <c r="W63" i="42" s="1"/>
  <c r="V63" i="42" a="1"/>
  <c r="V63" i="42" s="1"/>
  <c r="U63" i="42" a="1"/>
  <c r="U63" i="42" s="1"/>
  <c r="T63" i="42" a="1"/>
  <c r="T63" i="42" s="1"/>
  <c r="S63" i="42" a="1"/>
  <c r="S63" i="42" s="1"/>
  <c r="R63" i="42" a="1"/>
  <c r="R63" i="42" s="1"/>
  <c r="Q63" i="42" a="1"/>
  <c r="Q63" i="42" s="1"/>
  <c r="P63" i="42" a="1"/>
  <c r="P63" i="42" s="1"/>
  <c r="X62" i="42" a="1"/>
  <c r="X62" i="42" s="1"/>
  <c r="W62" i="42" a="1"/>
  <c r="W62" i="42" s="1"/>
  <c r="V62" i="42" a="1"/>
  <c r="V62" i="42" s="1"/>
  <c r="U62" i="42" a="1"/>
  <c r="U62" i="42" s="1"/>
  <c r="T62" i="42" a="1"/>
  <c r="T62" i="42" s="1"/>
  <c r="S62" i="42" a="1"/>
  <c r="S62" i="42" s="1"/>
  <c r="R62" i="42" a="1"/>
  <c r="R62" i="42" s="1"/>
  <c r="Q62" i="42" a="1"/>
  <c r="Q62" i="42" s="1"/>
  <c r="P62" i="42" a="1"/>
  <c r="P62" i="42" s="1"/>
  <c r="X61" i="42" a="1"/>
  <c r="X61" i="42" s="1"/>
  <c r="W61" i="42" a="1"/>
  <c r="W61" i="42" s="1"/>
  <c r="V61" i="42" a="1"/>
  <c r="V61" i="42" s="1"/>
  <c r="U61" i="42" a="1"/>
  <c r="U61" i="42" s="1"/>
  <c r="T61" i="42" a="1"/>
  <c r="T61" i="42" s="1"/>
  <c r="S61" i="42" a="1"/>
  <c r="S61" i="42" s="1"/>
  <c r="R61" i="42" a="1"/>
  <c r="R61" i="42" s="1"/>
  <c r="Q61" i="42" a="1"/>
  <c r="Q61" i="42" s="1"/>
  <c r="P61" i="42" a="1"/>
  <c r="P61" i="42" s="1"/>
  <c r="X60" i="42" a="1"/>
  <c r="X60" i="42" s="1"/>
  <c r="W60" i="42" a="1"/>
  <c r="W60" i="42" s="1"/>
  <c r="V60" i="42" a="1"/>
  <c r="V60" i="42" s="1"/>
  <c r="U60" i="42" a="1"/>
  <c r="U60" i="42" s="1"/>
  <c r="T60" i="42" a="1"/>
  <c r="T60" i="42" s="1"/>
  <c r="S60" i="42" a="1"/>
  <c r="S60" i="42" s="1"/>
  <c r="R60" i="42" a="1"/>
  <c r="R60" i="42" s="1"/>
  <c r="Q60" i="42" a="1"/>
  <c r="Q60" i="42" s="1"/>
  <c r="P60" i="42" a="1"/>
  <c r="P60" i="42" s="1"/>
  <c r="X59" i="42" a="1"/>
  <c r="X59" i="42" s="1"/>
  <c r="W59" i="42" a="1"/>
  <c r="W59" i="42" s="1"/>
  <c r="V59" i="42" a="1"/>
  <c r="V59" i="42" s="1"/>
  <c r="U59" i="42" a="1"/>
  <c r="U59" i="42" s="1"/>
  <c r="T59" i="42" a="1"/>
  <c r="T59" i="42" s="1"/>
  <c r="S59" i="42" a="1"/>
  <c r="S59" i="42" s="1"/>
  <c r="R59" i="42" a="1"/>
  <c r="R59" i="42" s="1"/>
  <c r="Q59" i="42" a="1"/>
  <c r="Q59" i="42" s="1"/>
  <c r="P59" i="42" a="1"/>
  <c r="P59" i="42" s="1"/>
  <c r="X58" i="42" a="1"/>
  <c r="X58" i="42" s="1"/>
  <c r="W58" i="42" a="1"/>
  <c r="W58" i="42" s="1"/>
  <c r="V58" i="42" a="1"/>
  <c r="V58" i="42" s="1"/>
  <c r="U58" i="42" a="1"/>
  <c r="U58" i="42" s="1"/>
  <c r="T58" i="42" a="1"/>
  <c r="T58" i="42" s="1"/>
  <c r="S58" i="42" a="1"/>
  <c r="S58" i="42" s="1"/>
  <c r="R58" i="42" a="1"/>
  <c r="R58" i="42" s="1"/>
  <c r="Q58" i="42" a="1"/>
  <c r="Q58" i="42" s="1"/>
  <c r="P58" i="42" a="1"/>
  <c r="P58" i="42" s="1"/>
  <c r="X57" i="42" a="1"/>
  <c r="X57" i="42" s="1"/>
  <c r="W57" i="42" a="1"/>
  <c r="W57" i="42" s="1"/>
  <c r="V57" i="42" a="1"/>
  <c r="V57" i="42" s="1"/>
  <c r="U57" i="42" a="1"/>
  <c r="U57" i="42" s="1"/>
  <c r="T57" i="42" a="1"/>
  <c r="T57" i="42" s="1"/>
  <c r="S57" i="42" a="1"/>
  <c r="S57" i="42" s="1"/>
  <c r="R57" i="42" a="1"/>
  <c r="R57" i="42" s="1"/>
  <c r="Q57" i="42" a="1"/>
  <c r="Q57" i="42" s="1"/>
  <c r="P57" i="42" a="1"/>
  <c r="P57" i="42" s="1"/>
  <c r="X56" i="42" a="1"/>
  <c r="X56" i="42" s="1"/>
  <c r="W56" i="42" a="1"/>
  <c r="W56" i="42" s="1"/>
  <c r="V56" i="42" a="1"/>
  <c r="V56" i="42" s="1"/>
  <c r="U56" i="42" a="1"/>
  <c r="U56" i="42" s="1"/>
  <c r="T56" i="42" a="1"/>
  <c r="T56" i="42" s="1"/>
  <c r="S56" i="42" a="1"/>
  <c r="S56" i="42" s="1"/>
  <c r="R56" i="42" a="1"/>
  <c r="R56" i="42" s="1"/>
  <c r="Q56" i="42" a="1"/>
  <c r="Q56" i="42" s="1"/>
  <c r="P56" i="42" a="1"/>
  <c r="P56" i="42" s="1"/>
  <c r="X55" i="42" a="1"/>
  <c r="X55" i="42" s="1"/>
  <c r="W55" i="42" a="1"/>
  <c r="W55" i="42" s="1"/>
  <c r="V55" i="42" a="1"/>
  <c r="V55" i="42" s="1"/>
  <c r="U55" i="42" a="1"/>
  <c r="U55" i="42" s="1"/>
  <c r="T55" i="42" a="1"/>
  <c r="T55" i="42" s="1"/>
  <c r="S55" i="42" a="1"/>
  <c r="S55" i="42" s="1"/>
  <c r="R55" i="42" a="1"/>
  <c r="R55" i="42" s="1"/>
  <c r="Q55" i="42" a="1"/>
  <c r="Q55" i="42" s="1"/>
  <c r="P55" i="42" a="1"/>
  <c r="P55" i="42" s="1"/>
  <c r="X54" i="42" a="1"/>
  <c r="X54" i="42" s="1"/>
  <c r="W54" i="42" a="1"/>
  <c r="W54" i="42" s="1"/>
  <c r="V54" i="42" a="1"/>
  <c r="V54" i="42" s="1"/>
  <c r="U54" i="42" a="1"/>
  <c r="U54" i="42" s="1"/>
  <c r="T54" i="42" a="1"/>
  <c r="T54" i="42" s="1"/>
  <c r="S54" i="42" a="1"/>
  <c r="S54" i="42" s="1"/>
  <c r="R54" i="42" a="1"/>
  <c r="R54" i="42" s="1"/>
  <c r="Q54" i="42" a="1"/>
  <c r="Q54" i="42" s="1"/>
  <c r="P54" i="42" a="1"/>
  <c r="P54" i="42" s="1"/>
  <c r="X53" i="42" a="1"/>
  <c r="X53" i="42" s="1"/>
  <c r="W53" i="42" a="1"/>
  <c r="W53" i="42" s="1"/>
  <c r="V53" i="42" a="1"/>
  <c r="V53" i="42" s="1"/>
  <c r="U53" i="42" a="1"/>
  <c r="U53" i="42" s="1"/>
  <c r="T53" i="42" a="1"/>
  <c r="T53" i="42" s="1"/>
  <c r="S53" i="42" a="1"/>
  <c r="S53" i="42" s="1"/>
  <c r="R53" i="42" a="1"/>
  <c r="R53" i="42" s="1"/>
  <c r="Q53" i="42" a="1"/>
  <c r="Q53" i="42" s="1"/>
  <c r="P53" i="42" a="1"/>
  <c r="P53" i="42" s="1"/>
  <c r="X52" i="42" a="1"/>
  <c r="X52" i="42" s="1"/>
  <c r="W52" i="42" a="1"/>
  <c r="W52" i="42" s="1"/>
  <c r="V52" i="42" a="1"/>
  <c r="V52" i="42" s="1"/>
  <c r="U52" i="42" a="1"/>
  <c r="U52" i="42" s="1"/>
  <c r="T52" i="42" a="1"/>
  <c r="T52" i="42" s="1"/>
  <c r="S52" i="42" a="1"/>
  <c r="S52" i="42" s="1"/>
  <c r="R52" i="42" a="1"/>
  <c r="R52" i="42" s="1"/>
  <c r="Q52" i="42" a="1"/>
  <c r="Q52" i="42" s="1"/>
  <c r="P52" i="42" a="1"/>
  <c r="P52" i="42" s="1"/>
  <c r="X51" i="42" a="1"/>
  <c r="X51" i="42" s="1"/>
  <c r="W51" i="42" a="1"/>
  <c r="W51" i="42" s="1"/>
  <c r="V51" i="42" a="1"/>
  <c r="V51" i="42" s="1"/>
  <c r="U51" i="42" a="1"/>
  <c r="U51" i="42" s="1"/>
  <c r="T51" i="42" a="1"/>
  <c r="T51" i="42" s="1"/>
  <c r="S51" i="42" a="1"/>
  <c r="S51" i="42" s="1"/>
  <c r="R51" i="42" a="1"/>
  <c r="R51" i="42" s="1"/>
  <c r="Q51" i="42" a="1"/>
  <c r="Q51" i="42" s="1"/>
  <c r="P51" i="42" a="1"/>
  <c r="P51" i="42" s="1"/>
  <c r="X50" i="42" a="1"/>
  <c r="X50" i="42" s="1"/>
  <c r="W50" i="42" a="1"/>
  <c r="W50" i="42" s="1"/>
  <c r="V50" i="42" a="1"/>
  <c r="V50" i="42" s="1"/>
  <c r="U50" i="42" a="1"/>
  <c r="U50" i="42" s="1"/>
  <c r="T50" i="42" a="1"/>
  <c r="T50" i="42" s="1"/>
  <c r="S50" i="42" a="1"/>
  <c r="S50" i="42" s="1"/>
  <c r="R50" i="42" a="1"/>
  <c r="R50" i="42" s="1"/>
  <c r="Q50" i="42" a="1"/>
  <c r="Q50" i="42" s="1"/>
  <c r="P50" i="42" a="1"/>
  <c r="P50" i="42" s="1"/>
  <c r="X49" i="42" a="1"/>
  <c r="X49" i="42" s="1"/>
  <c r="W49" i="42" a="1"/>
  <c r="W49" i="42" s="1"/>
  <c r="V49" i="42" a="1"/>
  <c r="V49" i="42" s="1"/>
  <c r="U49" i="42" a="1"/>
  <c r="U49" i="42" s="1"/>
  <c r="T49" i="42" a="1"/>
  <c r="T49" i="42" s="1"/>
  <c r="S49" i="42" a="1"/>
  <c r="S49" i="42" s="1"/>
  <c r="R49" i="42" a="1"/>
  <c r="R49" i="42" s="1"/>
  <c r="Q49" i="42" a="1"/>
  <c r="Q49" i="42" s="1"/>
  <c r="P49" i="42" a="1"/>
  <c r="P49" i="42" s="1"/>
  <c r="X48" i="42" a="1"/>
  <c r="X48" i="42" s="1"/>
  <c r="W48" i="42" a="1"/>
  <c r="W48" i="42" s="1"/>
  <c r="V48" i="42" a="1"/>
  <c r="V48" i="42" s="1"/>
  <c r="U48" i="42" a="1"/>
  <c r="U48" i="42" s="1"/>
  <c r="T48" i="42" a="1"/>
  <c r="T48" i="42" s="1"/>
  <c r="S48" i="42" a="1"/>
  <c r="S48" i="42" s="1"/>
  <c r="R48" i="42" a="1"/>
  <c r="R48" i="42" s="1"/>
  <c r="Q48" i="42" a="1"/>
  <c r="Q48" i="42" s="1"/>
  <c r="P48" i="42" a="1"/>
  <c r="P48" i="42" s="1"/>
  <c r="X47" i="42" a="1"/>
  <c r="X47" i="42" s="1"/>
  <c r="W47" i="42" a="1"/>
  <c r="W47" i="42" s="1"/>
  <c r="V47" i="42" a="1"/>
  <c r="V47" i="42" s="1"/>
  <c r="U47" i="42" a="1"/>
  <c r="U47" i="42" s="1"/>
  <c r="T47" i="42" a="1"/>
  <c r="T47" i="42" s="1"/>
  <c r="S47" i="42" a="1"/>
  <c r="S47" i="42" s="1"/>
  <c r="R47" i="42" a="1"/>
  <c r="R47" i="42" s="1"/>
  <c r="Q47" i="42" a="1"/>
  <c r="Q47" i="42" s="1"/>
  <c r="P47" i="42" a="1"/>
  <c r="P47" i="42" s="1"/>
  <c r="X46" i="42" a="1"/>
  <c r="X46" i="42" s="1"/>
  <c r="W46" i="42" a="1"/>
  <c r="W46" i="42" s="1"/>
  <c r="V46" i="42" a="1"/>
  <c r="V46" i="42" s="1"/>
  <c r="U46" i="42" a="1"/>
  <c r="U46" i="42" s="1"/>
  <c r="T46" i="42" a="1"/>
  <c r="T46" i="42" s="1"/>
  <c r="S46" i="42" a="1"/>
  <c r="S46" i="42" s="1"/>
  <c r="R46" i="42" a="1"/>
  <c r="R46" i="42" s="1"/>
  <c r="Q46" i="42" a="1"/>
  <c r="Q46" i="42" s="1"/>
  <c r="P46" i="42" a="1"/>
  <c r="P46" i="42" s="1"/>
  <c r="X45" i="42" a="1"/>
  <c r="X45" i="42" s="1"/>
  <c r="W45" i="42" a="1"/>
  <c r="W45" i="42" s="1"/>
  <c r="V45" i="42" a="1"/>
  <c r="V45" i="42" s="1"/>
  <c r="U45" i="42" a="1"/>
  <c r="U45" i="42" s="1"/>
  <c r="T45" i="42" a="1"/>
  <c r="T45" i="42" s="1"/>
  <c r="S45" i="42" a="1"/>
  <c r="S45" i="42" s="1"/>
  <c r="R45" i="42" a="1"/>
  <c r="R45" i="42" s="1"/>
  <c r="Q45" i="42" a="1"/>
  <c r="Q45" i="42" s="1"/>
  <c r="P45" i="42" a="1"/>
  <c r="P45" i="42" s="1"/>
  <c r="X44" i="42" a="1"/>
  <c r="X44" i="42" s="1"/>
  <c r="W44" i="42" a="1"/>
  <c r="W44" i="42" s="1"/>
  <c r="V44" i="42" a="1"/>
  <c r="V44" i="42" s="1"/>
  <c r="U44" i="42" a="1"/>
  <c r="U44" i="42" s="1"/>
  <c r="T44" i="42" a="1"/>
  <c r="T44" i="42" s="1"/>
  <c r="S44" i="42" a="1"/>
  <c r="S44" i="42" s="1"/>
  <c r="R44" i="42" a="1"/>
  <c r="R44" i="42" s="1"/>
  <c r="Q44" i="42" a="1"/>
  <c r="Q44" i="42" s="1"/>
  <c r="P44" i="42" a="1"/>
  <c r="P44" i="42" s="1"/>
  <c r="X43" i="42" a="1"/>
  <c r="X43" i="42" s="1"/>
  <c r="W43" i="42" a="1"/>
  <c r="W43" i="42" s="1"/>
  <c r="V43" i="42" a="1"/>
  <c r="V43" i="42" s="1"/>
  <c r="U43" i="42" a="1"/>
  <c r="U43" i="42" s="1"/>
  <c r="T43" i="42" a="1"/>
  <c r="T43" i="42" s="1"/>
  <c r="S43" i="42" a="1"/>
  <c r="S43" i="42" s="1"/>
  <c r="R43" i="42" a="1"/>
  <c r="R43" i="42" s="1"/>
  <c r="Q43" i="42" a="1"/>
  <c r="Q43" i="42" s="1"/>
  <c r="P43" i="42" a="1"/>
  <c r="P43" i="42" s="1"/>
  <c r="X42" i="42" a="1"/>
  <c r="X42" i="42" s="1"/>
  <c r="W42" i="42" a="1"/>
  <c r="W42" i="42" s="1"/>
  <c r="V42" i="42" a="1"/>
  <c r="V42" i="42" s="1"/>
  <c r="U42" i="42" a="1"/>
  <c r="U42" i="42" s="1"/>
  <c r="T42" i="42" a="1"/>
  <c r="T42" i="42" s="1"/>
  <c r="S42" i="42" a="1"/>
  <c r="S42" i="42" s="1"/>
  <c r="R42" i="42" a="1"/>
  <c r="R42" i="42" s="1"/>
  <c r="Q42" i="42" a="1"/>
  <c r="Q42" i="42" s="1"/>
  <c r="P42" i="42" a="1"/>
  <c r="P42" i="42" s="1"/>
  <c r="X41" i="42" a="1"/>
  <c r="X41" i="42" s="1"/>
  <c r="W41" i="42" a="1"/>
  <c r="W41" i="42" s="1"/>
  <c r="V41" i="42" a="1"/>
  <c r="V41" i="42" s="1"/>
  <c r="U41" i="42" a="1"/>
  <c r="U41" i="42" s="1"/>
  <c r="T41" i="42" a="1"/>
  <c r="T41" i="42" s="1"/>
  <c r="S41" i="42" a="1"/>
  <c r="S41" i="42" s="1"/>
  <c r="R41" i="42" a="1"/>
  <c r="R41" i="42" s="1"/>
  <c r="Q41" i="42" a="1"/>
  <c r="Q41" i="42" s="1"/>
  <c r="P41" i="42" a="1"/>
  <c r="P41" i="42" s="1"/>
  <c r="X40" i="42" a="1"/>
  <c r="X40" i="42" s="1"/>
  <c r="W40" i="42" a="1"/>
  <c r="W40" i="42" s="1"/>
  <c r="V40" i="42" a="1"/>
  <c r="V40" i="42" s="1"/>
  <c r="U40" i="42" a="1"/>
  <c r="U40" i="42" s="1"/>
  <c r="T40" i="42" a="1"/>
  <c r="T40" i="42" s="1"/>
  <c r="S40" i="42" a="1"/>
  <c r="S40" i="42" s="1"/>
  <c r="R40" i="42" a="1"/>
  <c r="R40" i="42" s="1"/>
  <c r="Q40" i="42" a="1"/>
  <c r="Q40" i="42" s="1"/>
  <c r="P40" i="42" a="1"/>
  <c r="P40" i="42" s="1"/>
  <c r="X39" i="42" a="1"/>
  <c r="X39" i="42" s="1"/>
  <c r="W39" i="42" a="1"/>
  <c r="W39" i="42" s="1"/>
  <c r="V39" i="42" a="1"/>
  <c r="V39" i="42" s="1"/>
  <c r="U39" i="42" a="1"/>
  <c r="U39" i="42" s="1"/>
  <c r="T39" i="42" a="1"/>
  <c r="T39" i="42" s="1"/>
  <c r="S39" i="42" a="1"/>
  <c r="S39" i="42" s="1"/>
  <c r="R39" i="42" a="1"/>
  <c r="R39" i="42" s="1"/>
  <c r="Q39" i="42" a="1"/>
  <c r="Q39" i="42" s="1"/>
  <c r="P39" i="42" a="1"/>
  <c r="P39" i="42" s="1"/>
  <c r="X38" i="42" a="1"/>
  <c r="X38" i="42" s="1"/>
  <c r="W38" i="42" a="1"/>
  <c r="W38" i="42" s="1"/>
  <c r="V38" i="42" a="1"/>
  <c r="V38" i="42" s="1"/>
  <c r="U38" i="42" a="1"/>
  <c r="U38" i="42" s="1"/>
  <c r="T38" i="42" a="1"/>
  <c r="T38" i="42" s="1"/>
  <c r="S38" i="42" a="1"/>
  <c r="S38" i="42" s="1"/>
  <c r="R38" i="42" a="1"/>
  <c r="R38" i="42" s="1"/>
  <c r="Q38" i="42" a="1"/>
  <c r="Q38" i="42" s="1"/>
  <c r="P38" i="42" a="1"/>
  <c r="P38" i="42" s="1"/>
  <c r="X37" i="42" a="1"/>
  <c r="X37" i="42" s="1"/>
  <c r="W37" i="42" a="1"/>
  <c r="W37" i="42" s="1"/>
  <c r="V37" i="42" a="1"/>
  <c r="V37" i="42" s="1"/>
  <c r="U37" i="42" a="1"/>
  <c r="U37" i="42" s="1"/>
  <c r="T37" i="42" a="1"/>
  <c r="T37" i="42" s="1"/>
  <c r="S37" i="42" a="1"/>
  <c r="S37" i="42" s="1"/>
  <c r="R37" i="42" a="1"/>
  <c r="R37" i="42" s="1"/>
  <c r="Q37" i="42" a="1"/>
  <c r="Q37" i="42" s="1"/>
  <c r="P37" i="42" a="1"/>
  <c r="P37" i="42" s="1"/>
  <c r="X36" i="42" a="1"/>
  <c r="X36" i="42" s="1"/>
  <c r="W36" i="42" a="1"/>
  <c r="W36" i="42" s="1"/>
  <c r="V36" i="42" a="1"/>
  <c r="V36" i="42" s="1"/>
  <c r="U36" i="42" a="1"/>
  <c r="U36" i="42" s="1"/>
  <c r="T36" i="42" a="1"/>
  <c r="T36" i="42" s="1"/>
  <c r="S36" i="42" a="1"/>
  <c r="S36" i="42" s="1"/>
  <c r="R36" i="42" a="1"/>
  <c r="R36" i="42" s="1"/>
  <c r="Q36" i="42" a="1"/>
  <c r="Q36" i="42" s="1"/>
  <c r="P36" i="42" a="1"/>
  <c r="P36" i="42" s="1"/>
  <c r="X35" i="42" a="1"/>
  <c r="X35" i="42" s="1"/>
  <c r="W35" i="42" a="1"/>
  <c r="W35" i="42" s="1"/>
  <c r="V35" i="42" a="1"/>
  <c r="V35" i="42" s="1"/>
  <c r="U35" i="42" a="1"/>
  <c r="U35" i="42" s="1"/>
  <c r="T35" i="42" a="1"/>
  <c r="T35" i="42" s="1"/>
  <c r="S35" i="42" a="1"/>
  <c r="S35" i="42" s="1"/>
  <c r="R35" i="42" a="1"/>
  <c r="R35" i="42" s="1"/>
  <c r="Q35" i="42" a="1"/>
  <c r="Q35" i="42" s="1"/>
  <c r="P35" i="42" a="1"/>
  <c r="P35" i="42" s="1"/>
  <c r="X34" i="42" a="1"/>
  <c r="X34" i="42" s="1"/>
  <c r="W34" i="42" a="1"/>
  <c r="W34" i="42" s="1"/>
  <c r="V34" i="42" a="1"/>
  <c r="V34" i="42" s="1"/>
  <c r="U34" i="42" a="1"/>
  <c r="U34" i="42" s="1"/>
  <c r="T34" i="42" a="1"/>
  <c r="T34" i="42" s="1"/>
  <c r="S34" i="42" a="1"/>
  <c r="S34" i="42" s="1"/>
  <c r="R34" i="42" a="1"/>
  <c r="R34" i="42" s="1"/>
  <c r="Q34" i="42" a="1"/>
  <c r="Q34" i="42" s="1"/>
  <c r="P34" i="42" a="1"/>
  <c r="P34" i="42" s="1"/>
  <c r="X33" i="42" a="1"/>
  <c r="X33" i="42" s="1"/>
  <c r="W33" i="42" a="1"/>
  <c r="W33" i="42" s="1"/>
  <c r="V33" i="42" a="1"/>
  <c r="V33" i="42" s="1"/>
  <c r="U33" i="42" a="1"/>
  <c r="U33" i="42" s="1"/>
  <c r="T33" i="42" a="1"/>
  <c r="T33" i="42" s="1"/>
  <c r="S33" i="42" a="1"/>
  <c r="S33" i="42" s="1"/>
  <c r="R33" i="42" a="1"/>
  <c r="R33" i="42" s="1"/>
  <c r="Q33" i="42" a="1"/>
  <c r="Q33" i="42" s="1"/>
  <c r="P33" i="42" a="1"/>
  <c r="P33" i="42" s="1"/>
  <c r="X32" i="42" a="1"/>
  <c r="X32" i="42" s="1"/>
  <c r="W32" i="42" a="1"/>
  <c r="W32" i="42" s="1"/>
  <c r="V32" i="42" a="1"/>
  <c r="V32" i="42" s="1"/>
  <c r="U32" i="42" a="1"/>
  <c r="U32" i="42" s="1"/>
  <c r="T32" i="42" a="1"/>
  <c r="T32" i="42" s="1"/>
  <c r="S32" i="42" a="1"/>
  <c r="S32" i="42" s="1"/>
  <c r="R32" i="42" a="1"/>
  <c r="R32" i="42" s="1"/>
  <c r="Q32" i="42" a="1"/>
  <c r="Q32" i="42" s="1"/>
  <c r="P32" i="42" a="1"/>
  <c r="P32" i="42" s="1"/>
  <c r="X31" i="42" a="1"/>
  <c r="X31" i="42" s="1"/>
  <c r="W31" i="42" a="1"/>
  <c r="W31" i="42" s="1"/>
  <c r="V31" i="42" a="1"/>
  <c r="V31" i="42" s="1"/>
  <c r="U31" i="42" a="1"/>
  <c r="U31" i="42" s="1"/>
  <c r="T31" i="42" a="1"/>
  <c r="T31" i="42" s="1"/>
  <c r="S31" i="42" a="1"/>
  <c r="S31" i="42" s="1"/>
  <c r="R31" i="42" a="1"/>
  <c r="R31" i="42" s="1"/>
  <c r="Q31" i="42" a="1"/>
  <c r="Q31" i="42" s="1"/>
  <c r="P31" i="42" a="1"/>
  <c r="P31" i="42" s="1"/>
  <c r="X30" i="42" a="1"/>
  <c r="X30" i="42" s="1"/>
  <c r="W30" i="42" a="1"/>
  <c r="W30" i="42" s="1"/>
  <c r="V30" i="42" a="1"/>
  <c r="V30" i="42" s="1"/>
  <c r="U30" i="42" a="1"/>
  <c r="U30" i="42" s="1"/>
  <c r="T30" i="42" a="1"/>
  <c r="T30" i="42" s="1"/>
  <c r="S30" i="42" a="1"/>
  <c r="S30" i="42" s="1"/>
  <c r="R30" i="42" a="1"/>
  <c r="R30" i="42" s="1"/>
  <c r="Q30" i="42" a="1"/>
  <c r="Q30" i="42" s="1"/>
  <c r="P30" i="42" a="1"/>
  <c r="P30" i="42" s="1"/>
  <c r="X29" i="42" a="1"/>
  <c r="X29" i="42" s="1"/>
  <c r="W29" i="42" a="1"/>
  <c r="W29" i="42" s="1"/>
  <c r="V29" i="42" a="1"/>
  <c r="V29" i="42" s="1"/>
  <c r="U29" i="42" a="1"/>
  <c r="U29" i="42" s="1"/>
  <c r="T29" i="42" a="1"/>
  <c r="T29" i="42" s="1"/>
  <c r="S29" i="42" a="1"/>
  <c r="S29" i="42" s="1"/>
  <c r="R29" i="42" a="1"/>
  <c r="R29" i="42" s="1"/>
  <c r="Q29" i="42" a="1"/>
  <c r="Q29" i="42" s="1"/>
  <c r="P29" i="42" a="1"/>
  <c r="P29" i="42" s="1"/>
  <c r="X28" i="42" a="1"/>
  <c r="X28" i="42" s="1"/>
  <c r="W28" i="42" a="1"/>
  <c r="W28" i="42" s="1"/>
  <c r="V28" i="42" a="1"/>
  <c r="V28" i="42" s="1"/>
  <c r="U28" i="42" a="1"/>
  <c r="U28" i="42" s="1"/>
  <c r="T28" i="42" a="1"/>
  <c r="T28" i="42" s="1"/>
  <c r="S28" i="42" a="1"/>
  <c r="S28" i="42" s="1"/>
  <c r="R28" i="42" a="1"/>
  <c r="R28" i="42" s="1"/>
  <c r="Q28" i="42" a="1"/>
  <c r="Q28" i="42" s="1"/>
  <c r="P28" i="42" a="1"/>
  <c r="P28" i="42" s="1"/>
  <c r="X27" i="42" a="1"/>
  <c r="X27" i="42" s="1"/>
  <c r="W27" i="42" a="1"/>
  <c r="W27" i="42" s="1"/>
  <c r="V27" i="42" a="1"/>
  <c r="V27" i="42" s="1"/>
  <c r="U27" i="42" a="1"/>
  <c r="U27" i="42" s="1"/>
  <c r="T27" i="42" a="1"/>
  <c r="T27" i="42" s="1"/>
  <c r="S27" i="42" a="1"/>
  <c r="S27" i="42" s="1"/>
  <c r="R27" i="42" a="1"/>
  <c r="R27" i="42" s="1"/>
  <c r="Q27" i="42" a="1"/>
  <c r="Q27" i="42" s="1"/>
  <c r="P27" i="42" a="1"/>
  <c r="P27" i="42" s="1"/>
  <c r="X26" i="42" a="1"/>
  <c r="X26" i="42" s="1"/>
  <c r="W26" i="42" a="1"/>
  <c r="W26" i="42" s="1"/>
  <c r="V26" i="42" a="1"/>
  <c r="V26" i="42" s="1"/>
  <c r="U26" i="42" a="1"/>
  <c r="U26" i="42" s="1"/>
  <c r="T26" i="42" a="1"/>
  <c r="T26" i="42" s="1"/>
  <c r="S26" i="42" a="1"/>
  <c r="S26" i="42" s="1"/>
  <c r="R26" i="42" a="1"/>
  <c r="R26" i="42" s="1"/>
  <c r="Q26" i="42" a="1"/>
  <c r="Q26" i="42" s="1"/>
  <c r="P26" i="42" a="1"/>
  <c r="P26" i="42" s="1"/>
  <c r="X25" i="42" a="1"/>
  <c r="X25" i="42" s="1"/>
  <c r="W25" i="42" a="1"/>
  <c r="W25" i="42" s="1"/>
  <c r="V25" i="42" a="1"/>
  <c r="V25" i="42" s="1"/>
  <c r="U25" i="42" a="1"/>
  <c r="U25" i="42" s="1"/>
  <c r="T25" i="42" a="1"/>
  <c r="T25" i="42" s="1"/>
  <c r="S25" i="42" a="1"/>
  <c r="S25" i="42" s="1"/>
  <c r="R25" i="42" a="1"/>
  <c r="R25" i="42" s="1"/>
  <c r="Q25" i="42" a="1"/>
  <c r="Q25" i="42" s="1"/>
  <c r="P25" i="42" a="1"/>
  <c r="P25" i="42" s="1"/>
  <c r="X24" i="42" a="1"/>
  <c r="X24" i="42" s="1"/>
  <c r="W24" i="42" a="1"/>
  <c r="W24" i="42" s="1"/>
  <c r="V24" i="42" a="1"/>
  <c r="V24" i="42" s="1"/>
  <c r="U24" i="42" a="1"/>
  <c r="U24" i="42" s="1"/>
  <c r="T24" i="42" a="1"/>
  <c r="T24" i="42" s="1"/>
  <c r="S24" i="42" a="1"/>
  <c r="S24" i="42" s="1"/>
  <c r="R24" i="42" a="1"/>
  <c r="R24" i="42" s="1"/>
  <c r="Q24" i="42" a="1"/>
  <c r="Q24" i="42" s="1"/>
  <c r="P24" i="42" a="1"/>
  <c r="P24" i="42" s="1"/>
  <c r="X23" i="42" a="1"/>
  <c r="X23" i="42" s="1"/>
  <c r="W23" i="42" a="1"/>
  <c r="W23" i="42" s="1"/>
  <c r="V23" i="42" a="1"/>
  <c r="V23" i="42" s="1"/>
  <c r="U23" i="42" a="1"/>
  <c r="U23" i="42" s="1"/>
  <c r="T23" i="42" a="1"/>
  <c r="T23" i="42" s="1"/>
  <c r="S23" i="42" a="1"/>
  <c r="S23" i="42" s="1"/>
  <c r="R23" i="42" a="1"/>
  <c r="R23" i="42" s="1"/>
  <c r="Q23" i="42" a="1"/>
  <c r="Q23" i="42" s="1"/>
  <c r="P23" i="42" a="1"/>
  <c r="P23" i="42" s="1"/>
  <c r="X22" i="42" a="1"/>
  <c r="X22" i="42" s="1"/>
  <c r="W22" i="42" a="1"/>
  <c r="W22" i="42" s="1"/>
  <c r="V22" i="42" a="1"/>
  <c r="V22" i="42" s="1"/>
  <c r="U22" i="42" a="1"/>
  <c r="U22" i="42" s="1"/>
  <c r="T22" i="42" a="1"/>
  <c r="T22" i="42" s="1"/>
  <c r="S22" i="42" a="1"/>
  <c r="S22" i="42" s="1"/>
  <c r="R22" i="42" a="1"/>
  <c r="R22" i="42" s="1"/>
  <c r="Q22" i="42" a="1"/>
  <c r="Q22" i="42" s="1"/>
  <c r="P22" i="42" a="1"/>
  <c r="P22" i="42" s="1"/>
  <c r="X21" i="42" a="1"/>
  <c r="X21" i="42" s="1"/>
  <c r="W21" i="42" a="1"/>
  <c r="W21" i="42" s="1"/>
  <c r="V21" i="42" a="1"/>
  <c r="V21" i="42" s="1"/>
  <c r="U21" i="42" a="1"/>
  <c r="U21" i="42" s="1"/>
  <c r="T21" i="42" a="1"/>
  <c r="T21" i="42" s="1"/>
  <c r="S21" i="42" a="1"/>
  <c r="S21" i="42" s="1"/>
  <c r="R21" i="42" a="1"/>
  <c r="R21" i="42" s="1"/>
  <c r="Q21" i="42" a="1"/>
  <c r="Q21" i="42" s="1"/>
  <c r="P21" i="42" a="1"/>
  <c r="P21" i="42" s="1"/>
  <c r="X20" i="42" a="1"/>
  <c r="X20" i="42" s="1"/>
  <c r="W20" i="42" a="1"/>
  <c r="W20" i="42" s="1"/>
  <c r="V20" i="42" a="1"/>
  <c r="V20" i="42" s="1"/>
  <c r="U20" i="42" a="1"/>
  <c r="U20" i="42" s="1"/>
  <c r="T20" i="42" a="1"/>
  <c r="T20" i="42" s="1"/>
  <c r="S20" i="42" a="1"/>
  <c r="S20" i="42" s="1"/>
  <c r="R20" i="42" a="1"/>
  <c r="R20" i="42" s="1"/>
  <c r="Q20" i="42" a="1"/>
  <c r="Q20" i="42" s="1"/>
  <c r="P20" i="42" a="1"/>
  <c r="P20" i="42" s="1"/>
  <c r="X19" i="42" a="1"/>
  <c r="X19" i="42" s="1"/>
  <c r="W19" i="42" a="1"/>
  <c r="W19" i="42" s="1"/>
  <c r="V19" i="42" a="1"/>
  <c r="V19" i="42" s="1"/>
  <c r="U19" i="42" a="1"/>
  <c r="U19" i="42" s="1"/>
  <c r="T19" i="42" a="1"/>
  <c r="T19" i="42" s="1"/>
  <c r="S19" i="42" a="1"/>
  <c r="S19" i="42" s="1"/>
  <c r="R19" i="42" a="1"/>
  <c r="R19" i="42" s="1"/>
  <c r="Q19" i="42" a="1"/>
  <c r="Q19" i="42" s="1"/>
  <c r="P19" i="42" a="1"/>
  <c r="P19" i="42" s="1"/>
  <c r="X18" i="42" a="1"/>
  <c r="X18" i="42" s="1"/>
  <c r="W18" i="42" a="1"/>
  <c r="W18" i="42" s="1"/>
  <c r="V18" i="42" a="1"/>
  <c r="V18" i="42" s="1"/>
  <c r="U18" i="42" a="1"/>
  <c r="U18" i="42" s="1"/>
  <c r="T18" i="42" a="1"/>
  <c r="T18" i="42" s="1"/>
  <c r="S18" i="42" a="1"/>
  <c r="S18" i="42" s="1"/>
  <c r="R18" i="42" a="1"/>
  <c r="R18" i="42" s="1"/>
  <c r="Q18" i="42" a="1"/>
  <c r="Q18" i="42" s="1"/>
  <c r="P18" i="42" a="1"/>
  <c r="P18" i="42" s="1"/>
  <c r="X17" i="42" a="1"/>
  <c r="X17" i="42" s="1"/>
  <c r="W17" i="42" a="1"/>
  <c r="W17" i="42" s="1"/>
  <c r="V17" i="42" a="1"/>
  <c r="V17" i="42" s="1"/>
  <c r="U17" i="42" a="1"/>
  <c r="U17" i="42" s="1"/>
  <c r="T17" i="42" a="1"/>
  <c r="T17" i="42" s="1"/>
  <c r="S17" i="42" a="1"/>
  <c r="S17" i="42" s="1"/>
  <c r="R17" i="42" a="1"/>
  <c r="R17" i="42" s="1"/>
  <c r="Q17" i="42" a="1"/>
  <c r="Q17" i="42" s="1"/>
  <c r="P17" i="42" a="1"/>
  <c r="P17" i="42" s="1"/>
  <c r="X16" i="42" a="1"/>
  <c r="X16" i="42" s="1"/>
  <c r="W16" i="42" a="1"/>
  <c r="W16" i="42" s="1"/>
  <c r="V16" i="42" a="1"/>
  <c r="V16" i="42" s="1"/>
  <c r="U16" i="42" a="1"/>
  <c r="U16" i="42" s="1"/>
  <c r="T16" i="42" a="1"/>
  <c r="T16" i="42" s="1"/>
  <c r="S16" i="42" a="1"/>
  <c r="S16" i="42" s="1"/>
  <c r="R16" i="42" a="1"/>
  <c r="R16" i="42" s="1"/>
  <c r="Q16" i="42" a="1"/>
  <c r="Q16" i="42" s="1"/>
  <c r="P16" i="42" a="1"/>
  <c r="P16" i="42" s="1"/>
  <c r="X15" i="42" a="1"/>
  <c r="X15" i="42" s="1"/>
  <c r="W15" i="42" a="1"/>
  <c r="W15" i="42" s="1"/>
  <c r="V15" i="42" a="1"/>
  <c r="V15" i="42" s="1"/>
  <c r="U15" i="42" a="1"/>
  <c r="U15" i="42" s="1"/>
  <c r="T15" i="42" a="1"/>
  <c r="T15" i="42" s="1"/>
  <c r="S15" i="42" a="1"/>
  <c r="S15" i="42" s="1"/>
  <c r="R15" i="42" a="1"/>
  <c r="R15" i="42" s="1"/>
  <c r="Q15" i="42" a="1"/>
  <c r="Q15" i="42" s="1"/>
  <c r="P15" i="42" a="1"/>
  <c r="P15" i="42" s="1"/>
  <c r="X14" i="42" a="1"/>
  <c r="X14" i="42" s="1"/>
  <c r="W14" i="42" a="1"/>
  <c r="W14" i="42" s="1"/>
  <c r="V14" i="42" a="1"/>
  <c r="V14" i="42" s="1"/>
  <c r="U14" i="42" a="1"/>
  <c r="U14" i="42" s="1"/>
  <c r="T14" i="42" a="1"/>
  <c r="T14" i="42" s="1"/>
  <c r="S14" i="42" a="1"/>
  <c r="S14" i="42" s="1"/>
  <c r="R14" i="42" a="1"/>
  <c r="R14" i="42" s="1"/>
  <c r="Q14" i="42" a="1"/>
  <c r="Q14" i="42" s="1"/>
  <c r="P14" i="42" a="1"/>
  <c r="P14" i="42" s="1"/>
  <c r="X13" i="42" a="1"/>
  <c r="X13" i="42" s="1"/>
  <c r="W13" i="42" a="1"/>
  <c r="W13" i="42" s="1"/>
  <c r="V13" i="42" a="1"/>
  <c r="V13" i="42" s="1"/>
  <c r="U13" i="42" a="1"/>
  <c r="U13" i="42" s="1"/>
  <c r="T13" i="42" a="1"/>
  <c r="T13" i="42" s="1"/>
  <c r="S13" i="42" a="1"/>
  <c r="S13" i="42" s="1"/>
  <c r="R13" i="42" a="1"/>
  <c r="R13" i="42" s="1"/>
  <c r="Q13" i="42" a="1"/>
  <c r="Q13" i="42" s="1"/>
  <c r="P13" i="42" a="1"/>
  <c r="P13" i="42" s="1"/>
  <c r="X12" i="42" a="1"/>
  <c r="X12" i="42" s="1"/>
  <c r="W12" i="42" a="1"/>
  <c r="W12" i="42" s="1"/>
  <c r="V12" i="42" a="1"/>
  <c r="V12" i="42" s="1"/>
  <c r="U12" i="42" a="1"/>
  <c r="U12" i="42" s="1"/>
  <c r="T12" i="42" a="1"/>
  <c r="T12" i="42" s="1"/>
  <c r="S12" i="42" a="1"/>
  <c r="S12" i="42" s="1"/>
  <c r="R12" i="42" a="1"/>
  <c r="R12" i="42" s="1"/>
  <c r="Q12" i="42" a="1"/>
  <c r="Q12" i="42" s="1"/>
  <c r="P12" i="42" a="1"/>
  <c r="P12" i="42" s="1"/>
  <c r="X11" i="42" a="1"/>
  <c r="X11" i="42" s="1"/>
  <c r="W11" i="42" a="1"/>
  <c r="W11" i="42" s="1"/>
  <c r="V11" i="42" a="1"/>
  <c r="V11" i="42" s="1"/>
  <c r="U11" i="42" a="1"/>
  <c r="U11" i="42" s="1"/>
  <c r="T11" i="42" a="1"/>
  <c r="T11" i="42" s="1"/>
  <c r="S11" i="42" a="1"/>
  <c r="S11" i="42" s="1"/>
  <c r="R11" i="42" a="1"/>
  <c r="R11" i="42" s="1"/>
  <c r="Q11" i="42" a="1"/>
  <c r="Q11" i="42" s="1"/>
  <c r="P11" i="42" a="1"/>
  <c r="P11" i="42" s="1"/>
  <c r="X10" i="42" a="1"/>
  <c r="X10" i="42" s="1"/>
  <c r="W10" i="42" a="1"/>
  <c r="W10" i="42" s="1"/>
  <c r="V10" i="42" a="1"/>
  <c r="V10" i="42" s="1"/>
  <c r="U10" i="42" a="1"/>
  <c r="U10" i="42" s="1"/>
  <c r="T10" i="42" a="1"/>
  <c r="T10" i="42" s="1"/>
  <c r="S10" i="42" a="1"/>
  <c r="S10" i="42" s="1"/>
  <c r="R10" i="42" a="1"/>
  <c r="R10" i="42" s="1"/>
  <c r="Q10" i="42" a="1"/>
  <c r="Q10" i="42" s="1"/>
  <c r="P10" i="42" a="1"/>
  <c r="P10" i="42" s="1"/>
  <c r="X9" i="42" a="1"/>
  <c r="X9" i="42" s="1"/>
  <c r="W9" i="42" a="1"/>
  <c r="W9" i="42" s="1"/>
  <c r="V9" i="42" a="1"/>
  <c r="V9" i="42" s="1"/>
  <c r="U9" i="42" a="1"/>
  <c r="U9" i="42" s="1"/>
  <c r="T9" i="42" a="1"/>
  <c r="T9" i="42" s="1"/>
  <c r="S9" i="42" a="1"/>
  <c r="S9" i="42" s="1"/>
  <c r="R9" i="42" a="1"/>
  <c r="R9" i="42" s="1"/>
  <c r="Q9" i="42" a="1"/>
  <c r="Q9" i="42" s="1"/>
  <c r="P9" i="42" a="1"/>
  <c r="P9" i="42" s="1"/>
  <c r="X8" i="42" a="1"/>
  <c r="X8" i="42" s="1"/>
  <c r="W8" i="42" a="1"/>
  <c r="W8" i="42" s="1"/>
  <c r="V8" i="42" a="1"/>
  <c r="V8" i="42" s="1"/>
  <c r="U8" i="42" a="1"/>
  <c r="U8" i="42" s="1"/>
  <c r="T8" i="42" a="1"/>
  <c r="T8" i="42" s="1"/>
  <c r="S8" i="42" a="1"/>
  <c r="S8" i="42" s="1"/>
  <c r="R8" i="42" a="1"/>
  <c r="R8" i="42" s="1"/>
  <c r="Q8" i="42" a="1"/>
  <c r="Q8" i="42" s="1"/>
  <c r="P8" i="42" a="1"/>
  <c r="P8" i="42" s="1"/>
  <c r="X7" i="42" a="1"/>
  <c r="X7" i="42" s="1"/>
  <c r="W7" i="42" a="1"/>
  <c r="W7" i="42" s="1"/>
  <c r="V7" i="42" a="1"/>
  <c r="V7" i="42" s="1"/>
  <c r="U7" i="42" a="1"/>
  <c r="U7" i="42" s="1"/>
  <c r="T7" i="42" a="1"/>
  <c r="T7" i="42" s="1"/>
  <c r="S7" i="42" a="1"/>
  <c r="S7" i="42" s="1"/>
  <c r="R7" i="42" a="1"/>
  <c r="R7" i="42" s="1"/>
  <c r="Q7" i="42" a="1"/>
  <c r="Q7" i="42" s="1"/>
  <c r="P7" i="42" a="1"/>
  <c r="P7" i="42" s="1"/>
  <c r="X6" i="42" a="1"/>
  <c r="X6" i="42" s="1"/>
  <c r="W6" i="42" a="1"/>
  <c r="W6" i="42" s="1"/>
  <c r="V6" i="42" a="1"/>
  <c r="V6" i="42" s="1"/>
  <c r="U6" i="42" a="1"/>
  <c r="U6" i="42" s="1"/>
  <c r="T6" i="42" a="1"/>
  <c r="T6" i="42" s="1"/>
  <c r="S6" i="42" a="1"/>
  <c r="S6" i="42" s="1"/>
  <c r="R6" i="42" a="1"/>
  <c r="R6" i="42" s="1"/>
  <c r="Q6" i="42" a="1"/>
  <c r="Q6" i="42" s="1"/>
  <c r="P6" i="42" a="1"/>
  <c r="P6" i="42" s="1"/>
  <c r="X5" i="42" a="1"/>
  <c r="X5" i="42" s="1"/>
  <c r="W5" i="42" a="1"/>
  <c r="W5" i="42" s="1"/>
  <c r="V5" i="42" a="1"/>
  <c r="V5" i="42" s="1"/>
  <c r="U5" i="42" a="1"/>
  <c r="U5" i="42" s="1"/>
  <c r="T5" i="42" a="1"/>
  <c r="T5" i="42" s="1"/>
  <c r="S5" i="42" a="1"/>
  <c r="S5" i="42" s="1"/>
  <c r="R5" i="42" a="1"/>
  <c r="R5" i="42" s="1"/>
  <c r="Q5" i="42" a="1"/>
  <c r="Q5" i="42" s="1"/>
  <c r="P5" i="42" a="1"/>
  <c r="P5" i="42" s="1"/>
  <c r="X4" i="42" a="1"/>
  <c r="X4" i="42" s="1"/>
  <c r="W4" i="42" a="1"/>
  <c r="W4" i="42" s="1"/>
  <c r="V4" i="42" a="1"/>
  <c r="V4" i="42" s="1"/>
  <c r="U4" i="42" a="1"/>
  <c r="U4" i="42" s="1"/>
  <c r="T4" i="42" a="1"/>
  <c r="T4" i="42" s="1"/>
  <c r="S4" i="42" a="1"/>
  <c r="S4" i="42" s="1"/>
  <c r="R4" i="42" a="1"/>
  <c r="R4" i="42" s="1"/>
  <c r="Q4" i="42" a="1"/>
  <c r="Q4" i="42" s="1"/>
  <c r="P4" i="42" a="1"/>
  <c r="P4" i="42" s="1"/>
  <c r="X3" i="42" a="1"/>
  <c r="X3" i="42" s="1"/>
  <c r="W3" i="42" a="1"/>
  <c r="W3" i="42" s="1"/>
  <c r="V3" i="42" a="1"/>
  <c r="V3" i="42" s="1"/>
  <c r="U3" i="42" a="1"/>
  <c r="U3" i="42" s="1"/>
  <c r="T3" i="42" a="1"/>
  <c r="T3" i="42" s="1"/>
  <c r="S3" i="42" a="1"/>
  <c r="S3" i="42" s="1"/>
  <c r="R3" i="42" a="1"/>
  <c r="R3" i="42" s="1"/>
  <c r="Q3" i="42" a="1"/>
  <c r="Q3" i="42" s="1"/>
  <c r="P3" i="42" a="1"/>
  <c r="P3" i="42" s="1"/>
  <c r="X2" i="42" a="1"/>
  <c r="X2" i="42" s="1"/>
  <c r="W2" i="42" a="1"/>
  <c r="W2" i="42" s="1"/>
  <c r="V2" i="42" a="1"/>
  <c r="V2" i="42" s="1"/>
  <c r="U2" i="42" a="1"/>
  <c r="U2" i="42" s="1"/>
  <c r="T2" i="42" a="1"/>
  <c r="T2" i="42" s="1"/>
  <c r="S2" i="42" a="1"/>
  <c r="S2" i="42" s="1"/>
  <c r="R2" i="42" a="1"/>
  <c r="R2" i="42" s="1"/>
  <c r="Q2" i="42" a="1"/>
  <c r="Q2" i="42" s="1"/>
  <c r="P2" i="42" a="1"/>
  <c r="P2" i="42" s="1"/>
  <c r="K93" i="42" l="1"/>
  <c r="K95" i="42"/>
  <c r="K183" i="42"/>
  <c r="K175" i="42"/>
  <c r="K163" i="42"/>
  <c r="K151" i="42"/>
  <c r="K139" i="42"/>
  <c r="K127" i="42"/>
  <c r="K123" i="42"/>
  <c r="K119" i="42"/>
  <c r="K115" i="42"/>
  <c r="K111" i="42"/>
  <c r="K107" i="42"/>
  <c r="K103" i="42"/>
  <c r="K190" i="42"/>
  <c r="K186" i="42"/>
  <c r="K182" i="42"/>
  <c r="K178" i="42"/>
  <c r="K174" i="42"/>
  <c r="K170" i="42"/>
  <c r="K166" i="42"/>
  <c r="K162" i="42"/>
  <c r="K158" i="42"/>
  <c r="K154" i="42"/>
  <c r="K150" i="42"/>
  <c r="K146" i="42"/>
  <c r="K142" i="42"/>
  <c r="K138" i="42"/>
  <c r="K134" i="42"/>
  <c r="K130" i="42"/>
  <c r="K126" i="42"/>
  <c r="K122" i="42"/>
  <c r="K118" i="42"/>
  <c r="K114" i="42"/>
  <c r="K110" i="42"/>
  <c r="K106" i="42"/>
  <c r="K102" i="42"/>
  <c r="K98" i="42"/>
  <c r="K94" i="42"/>
  <c r="K179" i="42"/>
  <c r="K167" i="42"/>
  <c r="K155" i="42"/>
  <c r="K143" i="42"/>
  <c r="K131" i="42"/>
  <c r="K99" i="42"/>
  <c r="K189" i="42"/>
  <c r="K185" i="42"/>
  <c r="K181" i="42"/>
  <c r="K177" i="42"/>
  <c r="K173" i="42"/>
  <c r="K169" i="42"/>
  <c r="K165" i="42"/>
  <c r="K161" i="42"/>
  <c r="K157" i="42"/>
  <c r="K153" i="42"/>
  <c r="K149" i="42"/>
  <c r="K145" i="42"/>
  <c r="K141" i="42"/>
  <c r="K137" i="42"/>
  <c r="K133" i="42"/>
  <c r="K129" i="42"/>
  <c r="K125" i="42"/>
  <c r="K121" i="42"/>
  <c r="K117" i="42"/>
  <c r="K113" i="42"/>
  <c r="K109" i="42"/>
  <c r="K105" i="42"/>
  <c r="K101" i="42"/>
  <c r="K97" i="42"/>
  <c r="K187" i="42"/>
  <c r="K171" i="42"/>
  <c r="K159" i="42"/>
  <c r="K147" i="42"/>
  <c r="K135" i="42"/>
  <c r="K91" i="42"/>
  <c r="K188" i="42"/>
  <c r="K184" i="42"/>
  <c r="K180" i="42"/>
  <c r="K176" i="42"/>
  <c r="K172" i="42"/>
  <c r="K168" i="42"/>
  <c r="K164" i="42"/>
  <c r="K160" i="42"/>
  <c r="K156" i="42"/>
  <c r="K152" i="42"/>
  <c r="K148" i="42"/>
  <c r="K144" i="42"/>
  <c r="K140" i="42"/>
  <c r="K136" i="42"/>
  <c r="K132" i="42"/>
  <c r="K128" i="42"/>
  <c r="K124" i="42"/>
  <c r="K120" i="42"/>
  <c r="K116" i="42"/>
  <c r="K112" i="42"/>
  <c r="K108" i="42"/>
  <c r="K104" i="42"/>
  <c r="K100" i="42"/>
  <c r="K96" i="42"/>
  <c r="K92" i="42"/>
  <c r="B58" i="45"/>
  <c r="B57" i="45"/>
  <c r="B56" i="45"/>
  <c r="B55" i="45"/>
  <c r="B54" i="45"/>
  <c r="B53" i="45"/>
  <c r="B22" i="45"/>
  <c r="B41" i="45"/>
  <c r="B42" i="45"/>
  <c r="B43" i="45"/>
  <c r="B39" i="45"/>
  <c r="B44" i="45"/>
  <c r="B40" i="45"/>
  <c r="B31" i="45"/>
  <c r="B30" i="45"/>
  <c r="B29" i="45"/>
  <c r="B28" i="45"/>
  <c r="B27" i="45"/>
  <c r="B26" i="45"/>
  <c r="B25" i="45"/>
  <c r="B198" i="45"/>
  <c r="B194" i="45"/>
  <c r="B197" i="45"/>
  <c r="B193" i="45"/>
  <c r="B196" i="45"/>
  <c r="B195" i="45"/>
  <c r="B192" i="45"/>
  <c r="B51" i="45"/>
  <c r="B37" i="45"/>
  <c r="B36" i="45"/>
  <c r="B35" i="45"/>
  <c r="B34" i="45"/>
  <c r="B33" i="45"/>
  <c r="B89" i="45"/>
  <c r="B87" i="45"/>
  <c r="B85" i="45"/>
  <c r="B83" i="45"/>
  <c r="B79" i="45"/>
  <c r="B75" i="45"/>
  <c r="B84" i="45"/>
  <c r="B80" i="45"/>
  <c r="B76" i="45"/>
  <c r="B74" i="45"/>
  <c r="B73" i="45"/>
  <c r="B72" i="45"/>
  <c r="B71" i="45"/>
  <c r="B70" i="45"/>
  <c r="B69" i="45"/>
  <c r="B68" i="45"/>
  <c r="B67" i="45"/>
  <c r="B66" i="45"/>
  <c r="B65" i="45"/>
  <c r="B64" i="45"/>
  <c r="B63" i="45"/>
  <c r="B62" i="45"/>
  <c r="B61" i="45"/>
  <c r="B60" i="45"/>
  <c r="B46" i="45"/>
  <c r="B48" i="45"/>
  <c r="B50" i="45"/>
  <c r="B88" i="45"/>
  <c r="B17" i="45"/>
  <c r="B19" i="45"/>
  <c r="B21" i="45"/>
  <c r="B23" i="45"/>
  <c r="B78" i="45"/>
  <c r="B82" i="45"/>
  <c r="B47" i="45"/>
  <c r="B49" i="45"/>
  <c r="B2" i="45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8" i="45"/>
  <c r="B20" i="45"/>
  <c r="B77" i="45"/>
  <c r="B81" i="45"/>
  <c r="B86" i="45"/>
  <c r="K64" i="42"/>
  <c r="K196" i="42"/>
  <c r="K195" i="42"/>
  <c r="K192" i="42"/>
  <c r="K198" i="42"/>
  <c r="K194" i="42"/>
  <c r="K197" i="42"/>
  <c r="K193" i="42"/>
  <c r="K62" i="42"/>
  <c r="K88" i="42"/>
  <c r="K84" i="42"/>
  <c r="K80" i="42"/>
  <c r="K76" i="42"/>
  <c r="K68" i="42"/>
  <c r="K87" i="42"/>
  <c r="K83" i="42"/>
  <c r="K79" i="42"/>
  <c r="K75" i="42"/>
  <c r="K71" i="42"/>
  <c r="K67" i="42"/>
  <c r="K63" i="42"/>
  <c r="K72" i="42"/>
  <c r="K86" i="42"/>
  <c r="K82" i="42"/>
  <c r="K78" i="42"/>
  <c r="K74" i="42"/>
  <c r="K70" i="42"/>
  <c r="K66" i="42"/>
  <c r="K36" i="42"/>
  <c r="K60" i="42"/>
  <c r="K57" i="42"/>
  <c r="K49" i="42"/>
  <c r="K89" i="42"/>
  <c r="K85" i="42"/>
  <c r="K81" i="42"/>
  <c r="K77" i="42"/>
  <c r="K73" i="42"/>
  <c r="K69" i="42"/>
  <c r="K65" i="42"/>
  <c r="K61" i="42"/>
  <c r="K55" i="42"/>
  <c r="K56" i="42"/>
  <c r="K53" i="42"/>
  <c r="K58" i="42"/>
  <c r="K54" i="42"/>
  <c r="K46" i="42"/>
  <c r="K48" i="42"/>
  <c r="K50" i="42"/>
  <c r="K51" i="42"/>
  <c r="K47" i="42"/>
  <c r="K43" i="42"/>
  <c r="K39" i="42"/>
  <c r="K42" i="42"/>
  <c r="K41" i="42"/>
  <c r="K44" i="42"/>
  <c r="K40" i="42"/>
  <c r="K37" i="42"/>
  <c r="K33" i="42"/>
  <c r="K28" i="42"/>
  <c r="K35" i="42"/>
  <c r="K29" i="42"/>
  <c r="K25" i="42"/>
  <c r="K31" i="42"/>
  <c r="K27" i="42"/>
  <c r="K10" i="42"/>
  <c r="K30" i="42"/>
  <c r="K26" i="42"/>
  <c r="K9" i="42"/>
  <c r="K4" i="42"/>
  <c r="K22" i="42"/>
  <c r="K14" i="42"/>
  <c r="K6" i="42"/>
  <c r="K21" i="42"/>
  <c r="K13" i="42"/>
  <c r="K5" i="42"/>
  <c r="K20" i="42"/>
  <c r="K16" i="42"/>
  <c r="K12" i="42"/>
  <c r="K8" i="42"/>
  <c r="K18" i="42"/>
  <c r="K17" i="42"/>
  <c r="K2" i="42"/>
  <c r="K23" i="42"/>
  <c r="K19" i="42"/>
  <c r="K15" i="42"/>
  <c r="K11" i="42"/>
  <c r="K7" i="42"/>
  <c r="K3" i="42"/>
  <c r="K34" i="4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<sst xmlns="http://schemas.openxmlformats.org/spreadsheetml/2006/main" count="2283" uniqueCount="206">
  <si>
    <t>System</t>
  </si>
  <si>
    <t>Star Colour</t>
  </si>
  <si>
    <t>Location Name</t>
  </si>
  <si>
    <t>World Type</t>
  </si>
  <si>
    <t>Atmosphere</t>
  </si>
  <si>
    <t>Temperature</t>
  </si>
  <si>
    <t>Biosphere</t>
  </si>
  <si>
    <t>Population</t>
  </si>
  <si>
    <t>Tech</t>
  </si>
  <si>
    <t>Government</t>
  </si>
  <si>
    <t>Notable Features</t>
  </si>
  <si>
    <t>Notable Features 1</t>
  </si>
  <si>
    <t>Notable Features 2</t>
  </si>
  <si>
    <t>Communards</t>
  </si>
  <si>
    <t>Chaos Cult</t>
  </si>
  <si>
    <t>Local Religious Authorities</t>
  </si>
  <si>
    <t>Agri-World</t>
  </si>
  <si>
    <t>Feral World</t>
  </si>
  <si>
    <t>Feudal World</t>
  </si>
  <si>
    <t>Forge World</t>
  </si>
  <si>
    <t>Hive World</t>
  </si>
  <si>
    <t>Shrine World</t>
  </si>
  <si>
    <t>Orbital</t>
  </si>
  <si>
    <t>Frontier World</t>
  </si>
  <si>
    <t>Tomb World</t>
  </si>
  <si>
    <t>Death World</t>
  </si>
  <si>
    <t>Pleasure World</t>
  </si>
  <si>
    <t>Planetary Monument</t>
  </si>
  <si>
    <t>Bastion World</t>
  </si>
  <si>
    <t>War Zone</t>
  </si>
  <si>
    <t>Ocean World</t>
  </si>
  <si>
    <t>Desert World</t>
  </si>
  <si>
    <t>O</t>
  </si>
  <si>
    <t>B</t>
  </si>
  <si>
    <t>A</t>
  </si>
  <si>
    <t>K</t>
  </si>
  <si>
    <t>G</t>
  </si>
  <si>
    <t>F</t>
  </si>
  <si>
    <t>M</t>
  </si>
  <si>
    <t>Breathable</t>
  </si>
  <si>
    <t>Toxic</t>
  </si>
  <si>
    <t>Corrosive</t>
  </si>
  <si>
    <t>Thin</t>
  </si>
  <si>
    <t>Airless</t>
  </si>
  <si>
    <t>Freezing</t>
  </si>
  <si>
    <t>Temperate</t>
  </si>
  <si>
    <t>Boiling</t>
  </si>
  <si>
    <t>Hot</t>
  </si>
  <si>
    <t>Cold</t>
  </si>
  <si>
    <t>Nonexistent</t>
  </si>
  <si>
    <t>None</t>
  </si>
  <si>
    <t>Primitive</t>
  </si>
  <si>
    <t>Low</t>
  </si>
  <si>
    <t>Standard</t>
  </si>
  <si>
    <t>High</t>
  </si>
  <si>
    <t>Xeno Hybrid</t>
  </si>
  <si>
    <t>Schola Progenium</t>
  </si>
  <si>
    <t>Subsector Hegemon</t>
  </si>
  <si>
    <t>Populist Tyrant</t>
  </si>
  <si>
    <t>Elitist Tyrant</t>
  </si>
  <si>
    <t>Warrior Aristocracy</t>
  </si>
  <si>
    <t>Megacorporations</t>
  </si>
  <si>
    <t>Heretical Imperial Cult</t>
  </si>
  <si>
    <t>Psyker Cult</t>
  </si>
  <si>
    <t>Extractive Colony</t>
  </si>
  <si>
    <t>Failed Paradise</t>
  </si>
  <si>
    <t>Martial Law</t>
  </si>
  <si>
    <t>Puppet Government</t>
  </si>
  <si>
    <t>Archaeotech</t>
  </si>
  <si>
    <t>Silica Animus</t>
  </si>
  <si>
    <t>Heavy Mining</t>
  </si>
  <si>
    <t>Seagoing Cities</t>
  </si>
  <si>
    <t>Sectarians</t>
  </si>
  <si>
    <t>Xenophiles</t>
  </si>
  <si>
    <t>Inquisition Outpost</t>
  </si>
  <si>
    <t>Out of Contact</t>
  </si>
  <si>
    <t>Primitive Xenos</t>
  </si>
  <si>
    <t>Sealed Menace</t>
  </si>
  <si>
    <t>Freak Weather</t>
  </si>
  <si>
    <t>Quarantined</t>
  </si>
  <si>
    <t>Trade Hub</t>
  </si>
  <si>
    <t>Space Hulks</t>
  </si>
  <si>
    <t>Archaeotech Ruins</t>
  </si>
  <si>
    <t>Ancient Archive</t>
  </si>
  <si>
    <t>Radioactive</t>
  </si>
  <si>
    <t>Tech-Priest Cult</t>
  </si>
  <si>
    <t>Important Shrine</t>
  </si>
  <si>
    <t>Local Specialty</t>
  </si>
  <si>
    <t>Altered Humans</t>
  </si>
  <si>
    <t>Police State</t>
  </si>
  <si>
    <t>Psyker Academy</t>
  </si>
  <si>
    <t>Xenophobes</t>
  </si>
  <si>
    <t>Flying Cities</t>
  </si>
  <si>
    <t>Abhumans</t>
  </si>
  <si>
    <t>Jungle World</t>
  </si>
  <si>
    <t>Xeno Ruins</t>
  </si>
  <si>
    <t>Witch Hunt</t>
  </si>
  <si>
    <t>Major Spaceyard</t>
  </si>
  <si>
    <t>Local Tech</t>
  </si>
  <si>
    <t>Secret Masters</t>
  </si>
  <si>
    <t>Seismic Instability</t>
  </si>
  <si>
    <t>Freak Geology</t>
  </si>
  <si>
    <t>Hostile Xenos</t>
  </si>
  <si>
    <t>Hostile Biosphere</t>
  </si>
  <si>
    <t>Forbidden Tech</t>
  </si>
  <si>
    <t>Pilgrimage Site</t>
  </si>
  <si>
    <t>Foreign Control</t>
  </si>
  <si>
    <t>Ancient Tombs</t>
  </si>
  <si>
    <t>Test Site</t>
  </si>
  <si>
    <t>Zombies</t>
  </si>
  <si>
    <t>Civil War</t>
  </si>
  <si>
    <t>Eugenic Cult</t>
  </si>
  <si>
    <t>Naval Outpost</t>
  </si>
  <si>
    <t>Navigator House</t>
  </si>
  <si>
    <t>Deviant Religion</t>
  </si>
  <si>
    <t>Heavy Industry</t>
  </si>
  <si>
    <t>Cold War</t>
  </si>
  <si>
    <t>Imperial Knights</t>
  </si>
  <si>
    <t>Naval Blockade</t>
  </si>
  <si>
    <t>Under Invasion</t>
  </si>
  <si>
    <t>Minimal Contact</t>
  </si>
  <si>
    <t>Gold Rush</t>
  </si>
  <si>
    <t>Warp Phenomena</t>
  </si>
  <si>
    <t>Hereteks</t>
  </si>
  <si>
    <t>Powerful Criminals</t>
  </si>
  <si>
    <t>Mutant Hordes</t>
  </si>
  <si>
    <t>Dangerous Wildlife</t>
  </si>
  <si>
    <t>Notable Local</t>
  </si>
  <si>
    <t>Pocket Empire</t>
  </si>
  <si>
    <t>Extreme Environment</t>
  </si>
  <si>
    <t>Pandemic</t>
  </si>
  <si>
    <t>Holy War</t>
  </si>
  <si>
    <t>Great Work</t>
  </si>
  <si>
    <t>Strange Hatred</t>
  </si>
  <si>
    <t>Strange Customs</t>
  </si>
  <si>
    <t>Nomadic Cities</t>
  </si>
  <si>
    <t>Sororitas Convent</t>
  </si>
  <si>
    <t>The Silent Trade</t>
  </si>
  <si>
    <t>Separatists</t>
  </si>
  <si>
    <t>Notable Features 3</t>
  </si>
  <si>
    <t>Chaos Cultists</t>
  </si>
  <si>
    <t>Xenos Infiltrators</t>
  </si>
  <si>
    <t>Sole Suppliers</t>
  </si>
  <si>
    <t>Freeport</t>
  </si>
  <si>
    <t>Libertines</t>
  </si>
  <si>
    <t>Factional Fragmentation</t>
  </si>
  <si>
    <t>Frozen World</t>
  </si>
  <si>
    <t>Recently Rediscovered</t>
  </si>
  <si>
    <t>Minimal</t>
  </si>
  <si>
    <t>Exotic</t>
  </si>
  <si>
    <t>#</t>
  </si>
  <si>
    <t>Military Governor</t>
  </si>
  <si>
    <t>Missionaries</t>
  </si>
  <si>
    <t>Loyalist Mass Movement</t>
  </si>
  <si>
    <t>Xenos Overlords</t>
  </si>
  <si>
    <t>Infractionist Gang</t>
  </si>
  <si>
    <t>Ecclesiarchical Appointee</t>
  </si>
  <si>
    <t>Warlords</t>
  </si>
  <si>
    <t>Magistrate Council</t>
  </si>
  <si>
    <t>Guilds / Combines</t>
  </si>
  <si>
    <t>Clans / Tribes</t>
  </si>
  <si>
    <t>Revolutionary Junta</t>
  </si>
  <si>
    <t>Rogue Trader Dynasty</t>
  </si>
  <si>
    <t>Shadowy Psyker Cabal</t>
  </si>
  <si>
    <t>Balkanized Local Factions</t>
  </si>
  <si>
    <t>Tradtionalist Aristocracy</t>
  </si>
  <si>
    <t>Uninhabited</t>
  </si>
  <si>
    <t>Sole Settlement</t>
  </si>
  <si>
    <t>Lightly Populated</t>
  </si>
  <si>
    <t>Densely Populated</t>
  </si>
  <si>
    <t>Tainted</t>
  </si>
  <si>
    <t>Mechanicus Forge-Lord</t>
  </si>
  <si>
    <t>Explorator Authority</t>
  </si>
  <si>
    <t>Corrupt Aristocrats</t>
  </si>
  <si>
    <t>Popular Uprising</t>
  </si>
  <si>
    <t>Verdant Ecology</t>
  </si>
  <si>
    <t>Poisoned</t>
  </si>
  <si>
    <t>Thriving</t>
  </si>
  <si>
    <t>Xeno Dominance</t>
  </si>
  <si>
    <t>Demagogue</t>
  </si>
  <si>
    <t>Industrial World</t>
  </si>
  <si>
    <t>Penal World</t>
  </si>
  <si>
    <t>Planetary Dump</t>
  </si>
  <si>
    <t>Research Station</t>
  </si>
  <si>
    <t>Xenos World</t>
  </si>
  <si>
    <t>Vast Fortresses</t>
  </si>
  <si>
    <t>Unmapped Wastes</t>
  </si>
  <si>
    <t>Blinding Mists</t>
  </si>
  <si>
    <t>Crumbling Arcologies</t>
  </si>
  <si>
    <t>Impending Doom</t>
  </si>
  <si>
    <t>Mass Panic</t>
  </si>
  <si>
    <t>Prosperous</t>
  </si>
  <si>
    <t>Traditional Oligarchy</t>
  </si>
  <si>
    <t>Friendly Xenos</t>
  </si>
  <si>
    <t>Celestial Phenomena</t>
  </si>
  <si>
    <t>Powerful Nobles</t>
  </si>
  <si>
    <t>Daemonic Corruption</t>
  </si>
  <si>
    <t>Warp-Lost World</t>
  </si>
  <si>
    <t>Dead World</t>
  </si>
  <si>
    <t>Worldship</t>
  </si>
  <si>
    <t>Counter</t>
  </si>
  <si>
    <t>Extremely Dense</t>
  </si>
  <si>
    <t>Star Type</t>
  </si>
  <si>
    <t>Traditionalist Aristocracy</t>
  </si>
  <si>
    <t>Asteroid</t>
  </si>
  <si>
    <t>Administrative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</si>
</sst>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C0FC-7940-4D9F-8B3E-C960C38297FC}">
  <dimension ref="A1:X198"/>
  <sheetViews>
    <sheetView topLeftCell="I68" workbookViewId="0">
      <selection activeCell="J87" sqref="J87"/>
    </sheetView>
  </sheetViews>
  <sheetFormatPr defaultRowHeight="15" x14ac:dyDescent="0.25"/>
  <cols>
    <col min="2" max="2" width="20" bestFit="1" customWidth="1"/>
    <col min="3" max="4" width="10.7109375" bestFit="1" customWidth="1"/>
    <col min="5" max="5" width="16.140625" bestFit="1" customWidth="1"/>
    <col min="6" max="6" width="18" bestFit="1" customWidth="1"/>
    <col min="7" max="7" width="12.140625" bestFit="1" customWidth="1"/>
    <col min="8" max="8" width="24.85546875" bestFit="1" customWidth="1"/>
    <col min="9" max="9" width="22.85546875" bestFit="1" customWidth="1"/>
    <col min="10" max="10" width="24.85546875" bestFit="1" customWidth="1"/>
    <col min="11" max="11" width="3" bestFit="1" customWidth="1"/>
    <col min="12" max="12" width="15.5703125" customWidth="1"/>
    <col min="13" max="13" width="11.85546875" bestFit="1" customWidth="1"/>
    <col min="14" max="14" width="18.42578125" bestFit="1" customWidth="1"/>
    <col min="15" max="15" width="20" bestFit="1" customWidth="1"/>
    <col min="16" max="16" width="15.5703125" bestFit="1" customWidth="1"/>
    <col min="17" max="17" width="16.28515625" bestFit="1" customWidth="1"/>
    <col min="18" max="18" width="16.140625" bestFit="1" customWidth="1"/>
    <col min="19" max="19" width="18" bestFit="1" customWidth="1"/>
    <col min="20" max="20" width="12.140625" bestFit="1" customWidth="1"/>
    <col min="21" max="21" width="24.85546875" bestFit="1" customWidth="1"/>
    <col min="22" max="24" width="23.42578125" bestFit="1" customWidth="1"/>
  </cols>
  <sheetData>
    <row r="1" spans="1:24" s="1" customFormat="1" ht="19.5" thickBot="1" x14ac:dyDescent="0.35">
      <c r="J1" s="1" t="s">
        <v>200</v>
      </c>
      <c r="K1" s="1" t="s">
        <v>150</v>
      </c>
      <c r="L1" s="1" t="s">
        <v>0</v>
      </c>
      <c r="M1" s="1" t="s">
        <v>202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11</v>
      </c>
      <c r="W1" s="1" t="s">
        <v>12</v>
      </c>
      <c r="X1" s="1" t="s">
        <v>139</v>
      </c>
    </row>
    <row r="2" spans="1:24" x14ac:dyDescent="0.25">
      <c r="A2" t="s">
        <v>32</v>
      </c>
      <c r="B2" t="s">
        <v>16</v>
      </c>
      <c r="C2" t="s">
        <v>43</v>
      </c>
      <c r="D2" t="s">
        <v>44</v>
      </c>
      <c r="E2" t="s">
        <v>49</v>
      </c>
      <c r="F2" t="s">
        <v>166</v>
      </c>
      <c r="G2" t="s">
        <v>51</v>
      </c>
      <c r="H2" t="s">
        <v>164</v>
      </c>
      <c r="I2" t="s">
        <v>93</v>
      </c>
      <c r="J2" t="s">
        <v>16</v>
      </c>
      <c r="K2">
        <f ca="1">COUNTIF($O$1:$O$121,J2)</f>
        <v>4</v>
      </c>
      <c r="L2" s="2">
        <f ca="1">120/RANDBETWEEN(12,120)</f>
        <v>1.9047619047619047</v>
      </c>
      <c r="M2" t="str" cm="1">
        <f t="array" aca="1" ref="M2" ca="1">INDEX($A$2:$A$101, RANDBETWEEN(1,100),0)</f>
        <v>M</v>
      </c>
      <c r="O2" t="str" cm="1">
        <f t="array" aca="1" ref="O2" ca="1">INDEX($B$2:$B$101, RANDBETWEEN(1,100),0)</f>
        <v>Extractive Colony</v>
      </c>
      <c r="P2" t="str" cm="1">
        <f t="array" aca="1" ref="P2" ca="1">INDEX($C$2:$C$21, RANDBETWEEN(1,20),0)</f>
        <v>Tainted</v>
      </c>
      <c r="Q2" t="str" cm="1">
        <f t="array" aca="1" ref="Q2" ca="1">INDEX($D$2:$D$21, RANDBETWEEN(1,20),0)</f>
        <v>Temperate</v>
      </c>
      <c r="R2" t="str" cm="1">
        <f t="array" aca="1" ref="R2" ca="1">INDEX($E$2:$E$21, RANDBETWEEN(1,20),0)</f>
        <v>Poisoned</v>
      </c>
      <c r="S2" t="str" cm="1">
        <f t="array" aca="1" ref="S2" ca="1">INDEX($F$2:$F$21, RANDBETWEEN(1,20),0)</f>
        <v>Densely Populated</v>
      </c>
      <c r="T2" t="str" cm="1">
        <f t="array" aca="1" ref="T2" ca="1">INDEX($G$2:$G$21, RANDBETWEEN(1,20),0)</f>
        <v>Low</v>
      </c>
      <c r="U2" t="str" cm="1">
        <f t="array" aca="1" ref="U2" ca="1">INDEX($H$2:$H$31, RANDBETWEEN(1,30),0)</f>
        <v>Infractionist Gang</v>
      </c>
      <c r="V2" t="str" cm="1">
        <f t="array" aca="1" ref="V2" ca="1">INDEX($I$2:$I$101, RANDBETWEEN(1,100),0)</f>
        <v>Strange Customs</v>
      </c>
      <c r="W2" t="str" cm="1">
        <f t="array" aca="1" ref="W2" ca="1">INDEX($I$2:$I$101, RANDBETWEEN(1,100),0)</f>
        <v>Heavy Industry</v>
      </c>
      <c r="X2" t="str" cm="1">
        <f t="array" aca="1" ref="X2" ca="1">INDEX($I$2:$I$101, RANDBETWEEN(1,100),0)</f>
        <v>Crumbling Arcologies</v>
      </c>
    </row>
    <row r="3" spans="1:24" x14ac:dyDescent="0.25">
      <c r="A3" t="s">
        <v>32</v>
      </c>
      <c r="B3" t="s">
        <v>16</v>
      </c>
      <c r="C3" t="s">
        <v>43</v>
      </c>
      <c r="D3" t="s">
        <v>48</v>
      </c>
      <c r="E3" t="s">
        <v>49</v>
      </c>
      <c r="F3" t="s">
        <v>148</v>
      </c>
      <c r="G3" t="s">
        <v>51</v>
      </c>
      <c r="H3" t="s">
        <v>14</v>
      </c>
      <c r="I3" t="s">
        <v>88</v>
      </c>
      <c r="J3" t="s">
        <v>28</v>
      </c>
      <c r="K3">
        <f t="shared" ref="K3:K23" ca="1" si="0">COUNTIF($O$1:$O$121,J3)</f>
        <v>7</v>
      </c>
      <c r="L3" s="2">
        <f t="shared" ref="L3:L66" ca="1" si="1">120/RANDBETWEEN(12,120)</f>
        <v>1.3186813186813187</v>
      </c>
      <c r="M3" t="str" cm="1">
        <f t="array" aca="1" ref="M3" ca="1">INDEX($A$2:$A$101, RANDBETWEEN(1,100),0)</f>
        <v>O</v>
      </c>
      <c r="O3" t="str" cm="1">
        <f t="array" aca="1" ref="O3" ca="1">INDEX($B$2:$B$101, RANDBETWEEN(1,100),0)</f>
        <v>Orbital</v>
      </c>
      <c r="P3" t="str" cm="1">
        <f t="array" aca="1" ref="P3" ca="1">INDEX($C$2:$C$21, RANDBETWEEN(1,20),0)</f>
        <v>Breathable</v>
      </c>
      <c r="Q3" t="str" cm="1">
        <f t="array" aca="1" ref="Q3" ca="1">INDEX($D$2:$D$21, RANDBETWEEN(1,20),0)</f>
        <v>Freezing</v>
      </c>
      <c r="R3" t="str" cm="1">
        <f t="array" aca="1" ref="R3" ca="1">INDEX($E$2:$E$21, RANDBETWEEN(1,20),0)</f>
        <v>Minimal</v>
      </c>
      <c r="S3" t="str" cm="1">
        <f t="array" aca="1" ref="S3" ca="1">INDEX($F$2:$F$21, RANDBETWEEN(1,20),0)</f>
        <v>Densely Populated</v>
      </c>
      <c r="T3" t="str" cm="1">
        <f t="array" aca="1" ref="T3" ca="1">INDEX($G$2:$G$21, RANDBETWEEN(1,20),0)</f>
        <v>Low</v>
      </c>
      <c r="U3" t="str" cm="1">
        <f t="array" aca="1" ref="U3" ca="1">INDEX($H$2:$H$31, RANDBETWEEN(1,30),0)</f>
        <v>Infractionist Gang</v>
      </c>
      <c r="V3" t="str" cm="1">
        <f t="array" aca="1" ref="V3" ca="1">INDEX($I$2:$I$101, RANDBETWEEN(1,100),0)</f>
        <v>Sectarians</v>
      </c>
      <c r="W3" t="str" cm="1">
        <f t="array" aca="1" ref="W3" ca="1">INDEX($I$2:$I$101, RANDBETWEEN(1,100),0)</f>
        <v>Verdant Ecology</v>
      </c>
      <c r="X3" t="str" cm="1">
        <f t="array" aca="1" ref="X3" ca="1">INDEX($I$2:$I$101, RANDBETWEEN(1,100),0)</f>
        <v>Great Work</v>
      </c>
    </row>
    <row r="4" spans="1:24" x14ac:dyDescent="0.25">
      <c r="A4" t="s">
        <v>33</v>
      </c>
      <c r="B4" t="s">
        <v>16</v>
      </c>
      <c r="C4" t="s">
        <v>39</v>
      </c>
      <c r="D4" t="s">
        <v>48</v>
      </c>
      <c r="E4" t="s">
        <v>49</v>
      </c>
      <c r="F4" t="s">
        <v>148</v>
      </c>
      <c r="G4" t="s">
        <v>52</v>
      </c>
      <c r="H4" t="s">
        <v>160</v>
      </c>
      <c r="I4" t="s">
        <v>83</v>
      </c>
      <c r="J4" t="s">
        <v>25</v>
      </c>
      <c r="K4">
        <f t="shared" ca="1" si="0"/>
        <v>7</v>
      </c>
      <c r="L4" s="2">
        <f t="shared" ca="1" si="1"/>
        <v>1.4285714285714286</v>
      </c>
      <c r="M4" t="str" cm="1">
        <f t="array" aca="1" ref="M4" ca="1">INDEX($A$2:$A$101, RANDBETWEEN(1,100),0)</f>
        <v>G</v>
      </c>
      <c r="O4" t="str" cm="1">
        <f t="array" aca="1" ref="O4" ca="1">INDEX($B$2:$B$101, RANDBETWEEN(1,100),0)</f>
        <v>Bastion World</v>
      </c>
      <c r="P4" t="str" cm="1">
        <f t="array" aca="1" ref="P4" ca="1">INDEX($C$2:$C$21, RANDBETWEEN(1,20),0)</f>
        <v>Thin</v>
      </c>
      <c r="Q4" t="str" cm="1">
        <f t="array" aca="1" ref="Q4" ca="1">INDEX($D$2:$D$21, RANDBETWEEN(1,20),0)</f>
        <v>Boiling</v>
      </c>
      <c r="R4" t="str" cm="1">
        <f t="array" aca="1" ref="R4" ca="1">INDEX($E$2:$E$21, RANDBETWEEN(1,20),0)</f>
        <v>Minimal</v>
      </c>
      <c r="S4" t="str" cm="1">
        <f t="array" aca="1" ref="S4" ca="1">INDEX($F$2:$F$21, RANDBETWEEN(1,20),0)</f>
        <v>Extremely Dense</v>
      </c>
      <c r="T4" t="str" cm="1">
        <f t="array" aca="1" ref="T4" ca="1">INDEX($G$2:$G$21, RANDBETWEEN(1,20),0)</f>
        <v>Standard</v>
      </c>
      <c r="U4" t="str" cm="1">
        <f t="array" aca="1" ref="U4" ca="1">INDEX($H$2:$H$31, RANDBETWEEN(1,30),0)</f>
        <v>Traditional Oligarchy</v>
      </c>
      <c r="V4" t="str" cm="1">
        <f t="array" aca="1" ref="V4" ca="1">INDEX($I$2:$I$101, RANDBETWEEN(1,100),0)</f>
        <v>Test Site</v>
      </c>
      <c r="W4" t="str" cm="1">
        <f t="array" aca="1" ref="W4" ca="1">INDEX($I$2:$I$101, RANDBETWEEN(1,100),0)</f>
        <v>Strange Customs</v>
      </c>
      <c r="X4" t="str" cm="1">
        <f t="array" aca="1" ref="X4" ca="1">INDEX($I$2:$I$101, RANDBETWEEN(1,100),0)</f>
        <v>Seagoing Cities</v>
      </c>
    </row>
    <row r="5" spans="1:24" x14ac:dyDescent="0.25">
      <c r="A5" t="s">
        <v>33</v>
      </c>
      <c r="B5" t="s">
        <v>16</v>
      </c>
      <c r="C5" t="s">
        <v>39</v>
      </c>
      <c r="D5" t="s">
        <v>48</v>
      </c>
      <c r="E5" t="s">
        <v>148</v>
      </c>
      <c r="F5" t="s">
        <v>148</v>
      </c>
      <c r="G5" t="s">
        <v>52</v>
      </c>
      <c r="H5" t="s">
        <v>13</v>
      </c>
      <c r="I5" t="s">
        <v>107</v>
      </c>
      <c r="J5" t="s">
        <v>198</v>
      </c>
      <c r="K5">
        <f t="shared" ca="1" si="0"/>
        <v>2</v>
      </c>
      <c r="L5" s="2">
        <f t="shared" ca="1" si="1"/>
        <v>1.1111111111111112</v>
      </c>
      <c r="M5" t="str" cm="1">
        <f t="array" aca="1" ref="M5" ca="1">INDEX($A$2:$A$101, RANDBETWEEN(1,100),0)</f>
        <v>M</v>
      </c>
      <c r="O5" t="str" cm="1">
        <f t="array" aca="1" ref="O5" ca="1">INDEX($B$2:$B$101, RANDBETWEEN(1,100),0)</f>
        <v>Forge World</v>
      </c>
      <c r="P5" t="str" cm="1">
        <f t="array" aca="1" ref="P5" ca="1">INDEX($C$2:$C$21, RANDBETWEEN(1,20),0)</f>
        <v>Toxic</v>
      </c>
      <c r="Q5" t="str" cm="1">
        <f t="array" aca="1" ref="Q5" ca="1">INDEX($D$2:$D$21, RANDBETWEEN(1,20),0)</f>
        <v>Hot</v>
      </c>
      <c r="R5" t="str" cm="1">
        <f t="array" aca="1" ref="R5" ca="1">INDEX($E$2:$E$21, RANDBETWEEN(1,20),0)</f>
        <v>Minimal</v>
      </c>
      <c r="S5" t="str" cm="1">
        <f t="array" aca="1" ref="S5" ca="1">INDEX($F$2:$F$21, RANDBETWEEN(1,20),0)</f>
        <v>Densely Populated</v>
      </c>
      <c r="T5" t="str" cm="1">
        <f t="array" aca="1" ref="T5" ca="1">INDEX($G$2:$G$21, RANDBETWEEN(1,20),0)</f>
        <v>Primitive</v>
      </c>
      <c r="U5" t="str" cm="1">
        <f t="array" aca="1" ref="U5" ca="1">INDEX($H$2:$H$31, RANDBETWEEN(1,30),0)</f>
        <v>Infractionist Gang</v>
      </c>
      <c r="V5" t="str" cm="1">
        <f t="array" aca="1" ref="V5" ca="1">INDEX($I$2:$I$101, RANDBETWEEN(1,100),0)</f>
        <v>Subsector Hegemon</v>
      </c>
      <c r="W5" t="str" cm="1">
        <f t="array" aca="1" ref="W5" ca="1">INDEX($I$2:$I$101, RANDBETWEEN(1,100),0)</f>
        <v>Extreme Environment</v>
      </c>
      <c r="X5" t="str" cm="1">
        <f t="array" aca="1" ref="X5" ca="1">INDEX($I$2:$I$101, RANDBETWEEN(1,100),0)</f>
        <v>Trade Hub</v>
      </c>
    </row>
    <row r="6" spans="1:24" x14ac:dyDescent="0.25">
      <c r="A6" t="s">
        <v>33</v>
      </c>
      <c r="B6" t="s">
        <v>16</v>
      </c>
      <c r="C6" t="s">
        <v>39</v>
      </c>
      <c r="D6" t="s">
        <v>48</v>
      </c>
      <c r="E6" t="s">
        <v>148</v>
      </c>
      <c r="F6" t="s">
        <v>167</v>
      </c>
      <c r="G6" t="s">
        <v>52</v>
      </c>
      <c r="H6" t="s">
        <v>173</v>
      </c>
      <c r="I6" t="s">
        <v>82</v>
      </c>
      <c r="J6" t="s">
        <v>64</v>
      </c>
      <c r="K6">
        <f t="shared" ca="1" si="0"/>
        <v>6</v>
      </c>
      <c r="L6" s="2">
        <f t="shared" ca="1" si="1"/>
        <v>1.3636363636363635</v>
      </c>
      <c r="M6" t="str" cm="1">
        <f t="array" aca="1" ref="M6" ca="1">INDEX($A$2:$A$101, RANDBETWEEN(1,100),0)</f>
        <v>A</v>
      </c>
      <c r="O6" t="str" cm="1">
        <f t="array" aca="1" ref="O6" ca="1">INDEX($B$2:$B$101, RANDBETWEEN(1,100),0)</f>
        <v>Industrial World</v>
      </c>
      <c r="P6" t="str" cm="1">
        <f t="array" aca="1" ref="P6" ca="1">INDEX($C$2:$C$21, RANDBETWEEN(1,20),0)</f>
        <v>Thin</v>
      </c>
      <c r="Q6" t="str" cm="1">
        <f t="array" aca="1" ref="Q6" ca="1">INDEX($D$2:$D$21, RANDBETWEEN(1,20),0)</f>
        <v>Temperate</v>
      </c>
      <c r="R6" t="str" cm="1">
        <f t="array" aca="1" ref="R6" ca="1">INDEX($E$2:$E$21, RANDBETWEEN(1,20),0)</f>
        <v>Xeno Dominance</v>
      </c>
      <c r="S6" t="str" cm="1">
        <f t="array" aca="1" ref="S6" ca="1">INDEX($F$2:$F$21, RANDBETWEEN(1,20),0)</f>
        <v>Sole Settlement</v>
      </c>
      <c r="T6" t="str" cm="1">
        <f t="array" aca="1" ref="T6" ca="1">INDEX($G$2:$G$21, RANDBETWEEN(1,20),0)</f>
        <v>Standard</v>
      </c>
      <c r="U6" t="str" cm="1">
        <f t="array" aca="1" ref="U6" ca="1">INDEX($H$2:$H$31, RANDBETWEEN(1,30),0)</f>
        <v>Chaos Cult</v>
      </c>
      <c r="V6" t="str" cm="1">
        <f t="array" aca="1" ref="V6" ca="1">INDEX($I$2:$I$101, RANDBETWEEN(1,100),0)</f>
        <v>Tech-Priest Cult</v>
      </c>
      <c r="W6" t="str" cm="1">
        <f t="array" aca="1" ref="W6" ca="1">INDEX($I$2:$I$101, RANDBETWEEN(1,100),0)</f>
        <v>Verdant Ecology</v>
      </c>
      <c r="X6" t="str" cm="1">
        <f t="array" aca="1" ref="X6" ca="1">INDEX($I$2:$I$101, RANDBETWEEN(1,100),0)</f>
        <v>Unmapped Wastes</v>
      </c>
    </row>
    <row r="7" spans="1:24" x14ac:dyDescent="0.25">
      <c r="A7" t="s">
        <v>33</v>
      </c>
      <c r="B7" t="s">
        <v>16</v>
      </c>
      <c r="C7" t="s">
        <v>39</v>
      </c>
      <c r="D7" t="s">
        <v>48</v>
      </c>
      <c r="E7" t="s">
        <v>148</v>
      </c>
      <c r="F7" t="s">
        <v>167</v>
      </c>
      <c r="G7" t="s">
        <v>52</v>
      </c>
      <c r="H7" t="s">
        <v>179</v>
      </c>
      <c r="I7" t="s">
        <v>187</v>
      </c>
      <c r="J7" t="s">
        <v>17</v>
      </c>
      <c r="K7">
        <f t="shared" ca="1" si="0"/>
        <v>8</v>
      </c>
      <c r="L7" s="2">
        <f t="shared" ca="1" si="1"/>
        <v>7.5</v>
      </c>
      <c r="M7" t="str" cm="1">
        <f t="array" aca="1" ref="M7" ca="1">INDEX($A$2:$A$101, RANDBETWEEN(1,100),0)</f>
        <v>A</v>
      </c>
      <c r="O7" t="str" cm="1">
        <f t="array" aca="1" ref="O7" ca="1">INDEX($B$2:$B$101, RANDBETWEEN(1,100),0)</f>
        <v>Research Station</v>
      </c>
      <c r="P7" t="str" cm="1">
        <f t="array" aca="1" ref="P7" ca="1">INDEX($C$2:$C$21, RANDBETWEEN(1,20),0)</f>
        <v>Tainted</v>
      </c>
      <c r="Q7" t="str" cm="1">
        <f t="array" aca="1" ref="Q7" ca="1">INDEX($D$2:$D$21, RANDBETWEEN(1,20),0)</f>
        <v>Hot</v>
      </c>
      <c r="R7" t="str" cm="1">
        <f t="array" aca="1" ref="R7" ca="1">INDEX($E$2:$E$21, RANDBETWEEN(1,20),0)</f>
        <v>Xeno Hybrid</v>
      </c>
      <c r="S7" t="str" cm="1">
        <f t="array" aca="1" ref="S7" ca="1">INDEX($F$2:$F$21, RANDBETWEEN(1,20),0)</f>
        <v>Sole Settlement</v>
      </c>
      <c r="T7" t="str" cm="1">
        <f t="array" aca="1" ref="T7" ca="1">INDEX($G$2:$G$21, RANDBETWEEN(1,20),0)</f>
        <v>Primitive</v>
      </c>
      <c r="U7" t="str" cm="1">
        <f t="array" aca="1" ref="U7" ca="1">INDEX($H$2:$H$31, RANDBETWEEN(1,30),0)</f>
        <v>Hereteks</v>
      </c>
      <c r="V7" t="str" cm="1">
        <f t="array" aca="1" ref="V7" ca="1">INDEX($I$2:$I$101, RANDBETWEEN(1,100),0)</f>
        <v>Schola Progenium</v>
      </c>
      <c r="W7" t="str" cm="1">
        <f t="array" aca="1" ref="W7" ca="1">INDEX($I$2:$I$101, RANDBETWEEN(1,100),0)</f>
        <v>Desert World</v>
      </c>
      <c r="X7" t="str" cm="1">
        <f t="array" aca="1" ref="X7" ca="1">INDEX($I$2:$I$101, RANDBETWEEN(1,100),0)</f>
        <v>Minimal Contact</v>
      </c>
    </row>
    <row r="8" spans="1:24" x14ac:dyDescent="0.25">
      <c r="A8" t="s">
        <v>33</v>
      </c>
      <c r="B8" t="s">
        <v>16</v>
      </c>
      <c r="C8" t="s">
        <v>39</v>
      </c>
      <c r="D8" t="s">
        <v>45</v>
      </c>
      <c r="E8" t="s">
        <v>148</v>
      </c>
      <c r="F8" t="s">
        <v>167</v>
      </c>
      <c r="G8" t="s">
        <v>52</v>
      </c>
      <c r="H8" t="s">
        <v>156</v>
      </c>
      <c r="I8" t="s">
        <v>194</v>
      </c>
      <c r="J8" t="s">
        <v>18</v>
      </c>
      <c r="K8">
        <f t="shared" ca="1" si="0"/>
        <v>9</v>
      </c>
      <c r="L8" s="2">
        <f t="shared" ca="1" si="1"/>
        <v>1.8181818181818181</v>
      </c>
      <c r="M8" t="str" cm="1">
        <f t="array" aca="1" ref="M8" ca="1">INDEX($A$2:$A$101, RANDBETWEEN(1,100),0)</f>
        <v>K</v>
      </c>
      <c r="O8" t="str" cm="1">
        <f t="array" aca="1" ref="O8" ca="1">INDEX($B$2:$B$101, RANDBETWEEN(1,100),0)</f>
        <v>Feudal World</v>
      </c>
      <c r="P8" t="str" cm="1">
        <f t="array" aca="1" ref="P8" ca="1">INDEX($C$2:$C$21, RANDBETWEEN(1,20),0)</f>
        <v>Airless</v>
      </c>
      <c r="Q8" t="str" cm="1">
        <f t="array" aca="1" ref="Q8" ca="1">INDEX($D$2:$D$21, RANDBETWEEN(1,20),0)</f>
        <v>Temperate</v>
      </c>
      <c r="R8" t="str" cm="1">
        <f t="array" aca="1" ref="R8" ca="1">INDEX($E$2:$E$21, RANDBETWEEN(1,20),0)</f>
        <v>Nonexistent</v>
      </c>
      <c r="S8" t="str" cm="1">
        <f t="array" aca="1" ref="S8" ca="1">INDEX($F$2:$F$21, RANDBETWEEN(1,20),0)</f>
        <v>Minimal</v>
      </c>
      <c r="T8" t="str" cm="1">
        <f t="array" aca="1" ref="T8" ca="1">INDEX($G$2:$G$21, RANDBETWEEN(1,20),0)</f>
        <v>High</v>
      </c>
      <c r="U8" t="str" cm="1">
        <f t="array" aca="1" ref="U8" ca="1">INDEX($H$2:$H$31, RANDBETWEEN(1,30),0)</f>
        <v>None</v>
      </c>
      <c r="V8" t="str" cm="1">
        <f t="array" aca="1" ref="V8" ca="1">INDEX($I$2:$I$101, RANDBETWEEN(1,100),0)</f>
        <v>Hereteks</v>
      </c>
      <c r="W8" t="str" cm="1">
        <f t="array" aca="1" ref="W8" ca="1">INDEX($I$2:$I$101, RANDBETWEEN(1,100),0)</f>
        <v>Flying Cities</v>
      </c>
      <c r="X8" t="str" cm="1">
        <f t="array" aca="1" ref="X8" ca="1">INDEX($I$2:$I$101, RANDBETWEEN(1,100),0)</f>
        <v>Missionaries</v>
      </c>
    </row>
    <row r="9" spans="1:24" x14ac:dyDescent="0.25">
      <c r="A9" t="s">
        <v>33</v>
      </c>
      <c r="B9" t="s">
        <v>16</v>
      </c>
      <c r="C9" t="s">
        <v>39</v>
      </c>
      <c r="D9" t="s">
        <v>45</v>
      </c>
      <c r="E9" t="s">
        <v>177</v>
      </c>
      <c r="F9" t="s">
        <v>168</v>
      </c>
      <c r="G9" t="s">
        <v>53</v>
      </c>
      <c r="H9" t="s">
        <v>59</v>
      </c>
      <c r="I9" t="s">
        <v>140</v>
      </c>
      <c r="J9" t="s">
        <v>19</v>
      </c>
      <c r="K9">
        <f t="shared" ca="1" si="0"/>
        <v>4</v>
      </c>
      <c r="L9" s="2">
        <f t="shared" ca="1" si="1"/>
        <v>1.1881188118811881</v>
      </c>
      <c r="M9" t="str" cm="1">
        <f t="array" aca="1" ref="M9" ca="1">INDEX($A$2:$A$101, RANDBETWEEN(1,100),0)</f>
        <v>B</v>
      </c>
      <c r="O9" t="str" cm="1">
        <f t="array" aca="1" ref="O9" ca="1">INDEX($B$2:$B$101, RANDBETWEEN(1,100),0)</f>
        <v>Industrial World</v>
      </c>
      <c r="P9" t="str" cm="1">
        <f t="array" aca="1" ref="P9" ca="1">INDEX($C$2:$C$21, RANDBETWEEN(1,20),0)</f>
        <v>Tainted</v>
      </c>
      <c r="Q9" t="str" cm="1">
        <f t="array" aca="1" ref="Q9" ca="1">INDEX($D$2:$D$21, RANDBETWEEN(1,20),0)</f>
        <v>Temperate</v>
      </c>
      <c r="R9" t="str" cm="1">
        <f t="array" aca="1" ref="R9" ca="1">INDEX($E$2:$E$21, RANDBETWEEN(1,20),0)</f>
        <v>Nonexistent</v>
      </c>
      <c r="S9" t="str" cm="1">
        <f t="array" aca="1" ref="S9" ca="1">INDEX($F$2:$F$21, RANDBETWEEN(1,20),0)</f>
        <v>Sole Settlement</v>
      </c>
      <c r="T9" t="str" cm="1">
        <f t="array" aca="1" ref="T9" ca="1">INDEX($G$2:$G$21, RANDBETWEEN(1,20),0)</f>
        <v>Low</v>
      </c>
      <c r="U9" t="str" cm="1">
        <f t="array" aca="1" ref="U9" ca="1">INDEX($H$2:$H$31, RANDBETWEEN(1,30),0)</f>
        <v>Populist Tyrant</v>
      </c>
      <c r="V9" t="str" cm="1">
        <f t="array" aca="1" ref="V9" ca="1">INDEX($I$2:$I$101, RANDBETWEEN(1,100),0)</f>
        <v>Warp Phenomena</v>
      </c>
      <c r="W9" t="str" cm="1">
        <f t="array" aca="1" ref="W9" ca="1">INDEX($I$2:$I$101, RANDBETWEEN(1,100),0)</f>
        <v>Missionaries</v>
      </c>
      <c r="X9" t="str" cm="1">
        <f t="array" aca="1" ref="X9" ca="1">INDEX($I$2:$I$101, RANDBETWEEN(1,100),0)</f>
        <v>Strange Customs</v>
      </c>
    </row>
    <row r="10" spans="1:24" x14ac:dyDescent="0.25">
      <c r="A10" t="s">
        <v>34</v>
      </c>
      <c r="B10" t="s">
        <v>16</v>
      </c>
      <c r="C10" t="s">
        <v>39</v>
      </c>
      <c r="D10" t="s">
        <v>45</v>
      </c>
      <c r="E10" t="s">
        <v>177</v>
      </c>
      <c r="F10" t="s">
        <v>168</v>
      </c>
      <c r="G10" t="s">
        <v>53</v>
      </c>
      <c r="H10" t="s">
        <v>172</v>
      </c>
      <c r="I10" t="s">
        <v>110</v>
      </c>
      <c r="J10" t="s">
        <v>23</v>
      </c>
      <c r="K10">
        <f t="shared" ca="1" si="0"/>
        <v>18</v>
      </c>
      <c r="L10" s="2">
        <f t="shared" ca="1" si="1"/>
        <v>4.1379310344827589</v>
      </c>
      <c r="M10" t="str" cm="1">
        <f t="array" aca="1" ref="M10" ca="1">INDEX($A$2:$A$101, RANDBETWEEN(1,100),0)</f>
        <v>G</v>
      </c>
      <c r="O10" t="str" cm="1">
        <f t="array" aca="1" ref="O10" ca="1">INDEX($B$2:$B$101, RANDBETWEEN(1,100),0)</f>
        <v>Penal World</v>
      </c>
      <c r="P10" t="str" cm="1">
        <f t="array" aca="1" ref="P10" ca="1">INDEX($C$2:$C$21, RANDBETWEEN(1,20),0)</f>
        <v>Thin</v>
      </c>
      <c r="Q10" t="str" cm="1">
        <f t="array" aca="1" ref="Q10" ca="1">INDEX($D$2:$D$21, RANDBETWEEN(1,20),0)</f>
        <v>Cold</v>
      </c>
      <c r="R10" t="str" cm="1">
        <f t="array" aca="1" ref="R10" ca="1">INDEX($E$2:$E$21, RANDBETWEEN(1,20),0)</f>
        <v>Thriving</v>
      </c>
      <c r="S10" t="str" cm="1">
        <f t="array" aca="1" ref="S10" ca="1">INDEX($F$2:$F$21, RANDBETWEEN(1,20),0)</f>
        <v>Densely Populated</v>
      </c>
      <c r="T10" t="str" cm="1">
        <f t="array" aca="1" ref="T10" ca="1">INDEX($G$2:$G$21, RANDBETWEEN(1,20),0)</f>
        <v>High</v>
      </c>
      <c r="U10" t="str" cm="1">
        <f t="array" aca="1" ref="U10" ca="1">INDEX($H$2:$H$31, RANDBETWEEN(1,30),0)</f>
        <v>Communards</v>
      </c>
      <c r="V10" t="str" cm="1">
        <f t="array" aca="1" ref="V10" ca="1">INDEX($I$2:$I$101, RANDBETWEEN(1,100),0)</f>
        <v>Tech-Priest Cult</v>
      </c>
      <c r="W10" t="str" cm="1">
        <f t="array" aca="1" ref="W10" ca="1">INDEX($I$2:$I$101, RANDBETWEEN(1,100),0)</f>
        <v>Nomadic Cities</v>
      </c>
      <c r="X10" t="str" cm="1">
        <f t="array" aca="1" ref="X10" ca="1">INDEX($I$2:$I$101, RANDBETWEEN(1,100),0)</f>
        <v>Ocean World</v>
      </c>
    </row>
    <row r="11" spans="1:24" x14ac:dyDescent="0.25">
      <c r="A11" t="s">
        <v>34</v>
      </c>
      <c r="B11" t="s">
        <v>16</v>
      </c>
      <c r="C11" t="s">
        <v>41</v>
      </c>
      <c r="D11" t="s">
        <v>45</v>
      </c>
      <c r="E11" t="s">
        <v>177</v>
      </c>
      <c r="F11" t="s">
        <v>168</v>
      </c>
      <c r="G11" t="s">
        <v>53</v>
      </c>
      <c r="H11" t="s">
        <v>159</v>
      </c>
      <c r="I11" t="s">
        <v>116</v>
      </c>
      <c r="J11" t="s">
        <v>20</v>
      </c>
      <c r="K11">
        <f t="shared" ca="1" si="0"/>
        <v>4</v>
      </c>
      <c r="L11" s="2">
        <f t="shared" ca="1" si="1"/>
        <v>1.2903225806451613</v>
      </c>
      <c r="M11" t="str" cm="1">
        <f t="array" aca="1" ref="M11" ca="1">INDEX($A$2:$A$101, RANDBETWEEN(1,100),0)</f>
        <v>M</v>
      </c>
      <c r="O11" t="str" cm="1">
        <f t="array" aca="1" ref="O11" ca="1">INDEX($B$2:$B$101, RANDBETWEEN(1,100),0)</f>
        <v>Shrine World</v>
      </c>
      <c r="P11" t="str" cm="1">
        <f t="array" aca="1" ref="P11" ca="1">INDEX($C$2:$C$21, RANDBETWEEN(1,20),0)</f>
        <v>Tainted</v>
      </c>
      <c r="Q11" t="str" cm="1">
        <f t="array" aca="1" ref="Q11" ca="1">INDEX($D$2:$D$21, RANDBETWEEN(1,20),0)</f>
        <v>Freezing</v>
      </c>
      <c r="R11" t="str" cm="1">
        <f t="array" aca="1" ref="R11" ca="1">INDEX($E$2:$E$21, RANDBETWEEN(1,20),0)</f>
        <v>Xeno Hybrid</v>
      </c>
      <c r="S11" t="str" cm="1">
        <f t="array" aca="1" ref="S11" ca="1">INDEX($F$2:$F$21, RANDBETWEEN(1,20),0)</f>
        <v>Extremely Dense</v>
      </c>
      <c r="T11" t="str" cm="1">
        <f t="array" aca="1" ref="T11" ca="1">INDEX($G$2:$G$21, RANDBETWEEN(1,20),0)</f>
        <v>Archaeotech</v>
      </c>
      <c r="U11" t="str" cm="1">
        <f t="array" aca="1" ref="U11" ca="1">INDEX($H$2:$H$31, RANDBETWEEN(1,30),0)</f>
        <v>Warlords</v>
      </c>
      <c r="V11" t="str" cm="1">
        <f t="array" aca="1" ref="V11" ca="1">INDEX($I$2:$I$101, RANDBETWEEN(1,100),0)</f>
        <v>Popular Uprising</v>
      </c>
      <c r="W11" t="str" cm="1">
        <f t="array" aca="1" ref="W11" ca="1">INDEX($I$2:$I$101, RANDBETWEEN(1,100),0)</f>
        <v>Martial Law</v>
      </c>
      <c r="X11" t="str" cm="1">
        <f t="array" aca="1" ref="X11" ca="1">INDEX($I$2:$I$101, RANDBETWEEN(1,100),0)</f>
        <v>Xenophobes</v>
      </c>
    </row>
    <row r="12" spans="1:24" x14ac:dyDescent="0.25">
      <c r="A12" t="s">
        <v>34</v>
      </c>
      <c r="B12" t="s">
        <v>28</v>
      </c>
      <c r="C12" t="s">
        <v>149</v>
      </c>
      <c r="D12" t="s">
        <v>45</v>
      </c>
      <c r="E12" t="s">
        <v>177</v>
      </c>
      <c r="F12" t="s">
        <v>168</v>
      </c>
      <c r="G12" t="s">
        <v>53</v>
      </c>
      <c r="H12" t="s">
        <v>123</v>
      </c>
      <c r="I12" t="s">
        <v>188</v>
      </c>
      <c r="J12" t="s">
        <v>180</v>
      </c>
      <c r="K12">
        <f t="shared" ca="1" si="0"/>
        <v>14</v>
      </c>
      <c r="L12" s="2">
        <f t="shared" ca="1" si="1"/>
        <v>2.9268292682926829</v>
      </c>
      <c r="M12" t="str" cm="1">
        <f t="array" aca="1" ref="M12" ca="1">INDEX($A$2:$A$101, RANDBETWEEN(1,100),0)</f>
        <v>F</v>
      </c>
      <c r="O12" t="str" cm="1">
        <f t="array" aca="1" ref="O12" ca="1">INDEX($B$2:$B$101, RANDBETWEEN(1,100),0)</f>
        <v>Industrial World</v>
      </c>
      <c r="P12" t="str" cm="1">
        <f t="array" aca="1" ref="P12" ca="1">INDEX($C$2:$C$21, RANDBETWEEN(1,20),0)</f>
        <v>Breathable</v>
      </c>
      <c r="Q12" t="str" cm="1">
        <f t="array" aca="1" ref="Q12" ca="1">INDEX($D$2:$D$21, RANDBETWEEN(1,20),0)</f>
        <v>Hot</v>
      </c>
      <c r="R12" t="str" cm="1">
        <f t="array" aca="1" ref="R12" ca="1">INDEX($E$2:$E$21, RANDBETWEEN(1,20),0)</f>
        <v>Minimal</v>
      </c>
      <c r="S12" t="str" cm="1">
        <f t="array" aca="1" ref="S12" ca="1">INDEX($F$2:$F$21, RANDBETWEEN(1,20),0)</f>
        <v>Uninhabited</v>
      </c>
      <c r="T12" t="str" cm="1">
        <f t="array" aca="1" ref="T12" ca="1">INDEX($G$2:$G$21, RANDBETWEEN(1,20),0)</f>
        <v>Xeno Hybrid</v>
      </c>
      <c r="U12" t="str" cm="1">
        <f t="array" aca="1" ref="U12" ca="1">INDEX($H$2:$H$31, RANDBETWEEN(1,30),0)</f>
        <v>Magistrate Council</v>
      </c>
      <c r="V12" t="str" cm="1">
        <f t="array" aca="1" ref="V12" ca="1">INDEX($I$2:$I$101, RANDBETWEEN(1,100),0)</f>
        <v>Heavy Mining</v>
      </c>
      <c r="W12" t="str" cm="1">
        <f t="array" aca="1" ref="W12" ca="1">INDEX($I$2:$I$101, RANDBETWEEN(1,100),0)</f>
        <v>Sororitas Convent</v>
      </c>
      <c r="X12" t="str" cm="1">
        <f t="array" aca="1" ref="X12" ca="1">INDEX($I$2:$I$101, RANDBETWEEN(1,100),0)</f>
        <v>Archaeotech Ruins</v>
      </c>
    </row>
    <row r="13" spans="1:24" x14ac:dyDescent="0.25">
      <c r="A13" t="s">
        <v>34</v>
      </c>
      <c r="B13" t="s">
        <v>28</v>
      </c>
      <c r="C13" t="s">
        <v>42</v>
      </c>
      <c r="D13" t="s">
        <v>45</v>
      </c>
      <c r="E13" t="s">
        <v>176</v>
      </c>
      <c r="F13" t="s">
        <v>169</v>
      </c>
      <c r="G13" t="s">
        <v>53</v>
      </c>
      <c r="H13" t="s">
        <v>62</v>
      </c>
      <c r="I13" t="s">
        <v>196</v>
      </c>
      <c r="J13" t="s">
        <v>22</v>
      </c>
      <c r="K13">
        <f t="shared" ca="1" si="0"/>
        <v>7</v>
      </c>
      <c r="L13" s="2">
        <f t="shared" ca="1" si="1"/>
        <v>6.3157894736842106</v>
      </c>
      <c r="M13" t="str" cm="1">
        <f t="array" aca="1" ref="M13" ca="1">INDEX($A$2:$A$101, RANDBETWEEN(1,100),0)</f>
        <v>F</v>
      </c>
      <c r="O13" t="str" cm="1">
        <f t="array" aca="1" ref="O13" ca="1">INDEX($B$2:$B$101, RANDBETWEEN(1,100),0)</f>
        <v>Frontier World</v>
      </c>
      <c r="P13" t="str" cm="1">
        <f t="array" aca="1" ref="P13" ca="1">INDEX($C$2:$C$21, RANDBETWEEN(1,20),0)</f>
        <v>Thin</v>
      </c>
      <c r="Q13" t="str" cm="1">
        <f t="array" aca="1" ref="Q13" ca="1">INDEX($D$2:$D$21, RANDBETWEEN(1,20),0)</f>
        <v>Boiling</v>
      </c>
      <c r="R13" t="str" cm="1">
        <f t="array" aca="1" ref="R13" ca="1">INDEX($E$2:$E$21, RANDBETWEEN(1,20),0)</f>
        <v>Minimal</v>
      </c>
      <c r="S13" t="str" cm="1">
        <f t="array" aca="1" ref="S13" ca="1">INDEX($F$2:$F$21, RANDBETWEEN(1,20),0)</f>
        <v>Extremely Dense</v>
      </c>
      <c r="T13" t="str" cm="1">
        <f t="array" aca="1" ref="T13" ca="1">INDEX($G$2:$G$21, RANDBETWEEN(1,20),0)</f>
        <v>Xeno Hybrid</v>
      </c>
      <c r="U13" t="str" cm="1">
        <f t="array" aca="1" ref="U13" ca="1">INDEX($H$2:$H$31, RANDBETWEEN(1,30),0)</f>
        <v>Magistrate Council</v>
      </c>
      <c r="V13" t="str" cm="1">
        <f t="array" aca="1" ref="V13" ca="1">INDEX($I$2:$I$101, RANDBETWEEN(1,100),0)</f>
        <v>Eugenic Cult</v>
      </c>
      <c r="W13" t="str" cm="1">
        <f t="array" aca="1" ref="W13" ca="1">INDEX($I$2:$I$101, RANDBETWEEN(1,100),0)</f>
        <v>Sealed Menace</v>
      </c>
      <c r="X13" t="str" cm="1">
        <f t="array" aca="1" ref="X13" ca="1">INDEX($I$2:$I$101, RANDBETWEEN(1,100),0)</f>
        <v>Desert World</v>
      </c>
    </row>
    <row r="14" spans="1:24" x14ac:dyDescent="0.25">
      <c r="A14" t="s">
        <v>34</v>
      </c>
      <c r="B14" t="s">
        <v>28</v>
      </c>
      <c r="C14" t="s">
        <v>42</v>
      </c>
      <c r="D14" t="s">
        <v>45</v>
      </c>
      <c r="E14" t="s">
        <v>176</v>
      </c>
      <c r="F14" t="s">
        <v>169</v>
      </c>
      <c r="G14" t="s">
        <v>53</v>
      </c>
      <c r="H14" t="s">
        <v>155</v>
      </c>
      <c r="I14" t="s">
        <v>126</v>
      </c>
      <c r="J14" t="s">
        <v>181</v>
      </c>
      <c r="K14">
        <f t="shared" ca="1" si="0"/>
        <v>6</v>
      </c>
      <c r="L14" s="2">
        <f t="shared" ca="1" si="1"/>
        <v>2</v>
      </c>
      <c r="M14" t="str" cm="1">
        <f t="array" aca="1" ref="M14" ca="1">INDEX($A$2:$A$101, RANDBETWEEN(1,100),0)</f>
        <v>G</v>
      </c>
      <c r="O14" t="str" cm="1">
        <f t="array" aca="1" ref="O14" ca="1">INDEX($B$2:$B$101, RANDBETWEEN(1,100),0)</f>
        <v>Shrine World</v>
      </c>
      <c r="P14" t="str" cm="1">
        <f t="array" aca="1" ref="P14" ca="1">INDEX($C$2:$C$21, RANDBETWEEN(1,20),0)</f>
        <v>Breathable</v>
      </c>
      <c r="Q14" t="str" cm="1">
        <f t="array" aca="1" ref="Q14" ca="1">INDEX($D$2:$D$21, RANDBETWEEN(1,20),0)</f>
        <v>Cold</v>
      </c>
      <c r="R14" t="str" cm="1">
        <f t="array" aca="1" ref="R14" ca="1">INDEX($E$2:$E$21, RANDBETWEEN(1,20),0)</f>
        <v>Nonexistent</v>
      </c>
      <c r="S14" t="str" cm="1">
        <f t="array" aca="1" ref="S14" ca="1">INDEX($F$2:$F$21, RANDBETWEEN(1,20),0)</f>
        <v>Extremely Dense</v>
      </c>
      <c r="T14" t="str" cm="1">
        <f t="array" aca="1" ref="T14" ca="1">INDEX($G$2:$G$21, RANDBETWEEN(1,20),0)</f>
        <v>Primitive</v>
      </c>
      <c r="U14" t="str" cm="1">
        <f t="array" aca="1" ref="U14" ca="1">INDEX($H$2:$H$31, RANDBETWEEN(1,30),0)</f>
        <v>Communards</v>
      </c>
      <c r="V14" t="str" cm="1">
        <f t="array" aca="1" ref="V14" ca="1">INDEX($I$2:$I$101, RANDBETWEEN(1,100),0)</f>
        <v>Nomadic Cities</v>
      </c>
      <c r="W14" t="str" cm="1">
        <f t="array" aca="1" ref="W14" ca="1">INDEX($I$2:$I$101, RANDBETWEEN(1,100),0)</f>
        <v>Popular Uprising</v>
      </c>
      <c r="X14" t="str" cm="1">
        <f t="array" aca="1" ref="X14" ca="1">INDEX($I$2:$I$101, RANDBETWEEN(1,100),0)</f>
        <v>Archaeotech Ruins</v>
      </c>
    </row>
    <row r="15" spans="1:24" x14ac:dyDescent="0.25">
      <c r="A15" t="s">
        <v>34</v>
      </c>
      <c r="B15" t="s">
        <v>25</v>
      </c>
      <c r="C15" t="s">
        <v>42</v>
      </c>
      <c r="D15" t="s">
        <v>45</v>
      </c>
      <c r="E15" t="s">
        <v>176</v>
      </c>
      <c r="F15" t="s">
        <v>169</v>
      </c>
      <c r="G15" t="s">
        <v>53</v>
      </c>
      <c r="H15" t="s">
        <v>15</v>
      </c>
      <c r="I15" t="s">
        <v>31</v>
      </c>
      <c r="J15" t="s">
        <v>182</v>
      </c>
      <c r="K15">
        <f t="shared" ca="1" si="0"/>
        <v>0</v>
      </c>
      <c r="L15" s="2">
        <f t="shared" ca="1" si="1"/>
        <v>4</v>
      </c>
      <c r="M15" t="str" cm="1">
        <f t="array" aca="1" ref="M15" ca="1">INDEX($A$2:$A$101, RANDBETWEEN(1,100),0)</f>
        <v>M</v>
      </c>
      <c r="O15" t="str" cm="1">
        <f t="array" aca="1" ref="O15" ca="1">INDEX($B$2:$B$101, RANDBETWEEN(1,100),0)</f>
        <v>Industrial World</v>
      </c>
      <c r="P15" t="str" cm="1">
        <f t="array" aca="1" ref="P15" ca="1">INDEX($C$2:$C$21, RANDBETWEEN(1,20),0)</f>
        <v>Breathable</v>
      </c>
      <c r="Q15" t="str" cm="1">
        <f t="array" aca="1" ref="Q15" ca="1">INDEX($D$2:$D$21, RANDBETWEEN(1,20),0)</f>
        <v>Hot</v>
      </c>
      <c r="R15" t="str" cm="1">
        <f t="array" aca="1" ref="R15" ca="1">INDEX($E$2:$E$21, RANDBETWEEN(1,20),0)</f>
        <v>Minimal</v>
      </c>
      <c r="S15" t="str" cm="1">
        <f t="array" aca="1" ref="S15" ca="1">INDEX($F$2:$F$21, RANDBETWEEN(1,20),0)</f>
        <v>Densely Populated</v>
      </c>
      <c r="T15" t="str" cm="1">
        <f t="array" aca="1" ref="T15" ca="1">INDEX($G$2:$G$21, RANDBETWEEN(1,20),0)</f>
        <v>High</v>
      </c>
      <c r="U15" t="str" cm="1">
        <f t="array" aca="1" ref="U15" ca="1">INDEX($H$2:$H$31, RANDBETWEEN(1,30),0)</f>
        <v>Demagogue</v>
      </c>
      <c r="V15" t="str" cm="1">
        <f t="array" aca="1" ref="V15" ca="1">INDEX($I$2:$I$101, RANDBETWEEN(1,100),0)</f>
        <v>Freak Geology</v>
      </c>
      <c r="W15" t="str" cm="1">
        <f t="array" aca="1" ref="W15" ca="1">INDEX($I$2:$I$101, RANDBETWEEN(1,100),0)</f>
        <v>Celestial Phenomena</v>
      </c>
      <c r="X15" t="str" cm="1">
        <f t="array" aca="1" ref="X15" ca="1">INDEX($I$2:$I$101, RANDBETWEEN(1,100),0)</f>
        <v>Zombies</v>
      </c>
    </row>
    <row r="16" spans="1:24" x14ac:dyDescent="0.25">
      <c r="A16" t="s">
        <v>34</v>
      </c>
      <c r="B16" t="s">
        <v>25</v>
      </c>
      <c r="C16" t="s">
        <v>42</v>
      </c>
      <c r="D16" t="s">
        <v>47</v>
      </c>
      <c r="E16" t="s">
        <v>176</v>
      </c>
      <c r="F16" t="s">
        <v>169</v>
      </c>
      <c r="G16" t="s">
        <v>54</v>
      </c>
      <c r="H16" t="s">
        <v>153</v>
      </c>
      <c r="I16" t="s">
        <v>114</v>
      </c>
      <c r="J16" t="s">
        <v>27</v>
      </c>
      <c r="K16">
        <f t="shared" ca="1" si="0"/>
        <v>0</v>
      </c>
      <c r="L16" s="2">
        <f t="shared" ca="1" si="1"/>
        <v>1.2244897959183674</v>
      </c>
      <c r="M16" t="str" cm="1">
        <f t="array" aca="1" ref="M16" ca="1">INDEX($A$2:$A$101, RANDBETWEEN(1,100),0)</f>
        <v>G</v>
      </c>
      <c r="O16" t="str" cm="1">
        <f t="array" aca="1" ref="O16" ca="1">INDEX($B$2:$B$101, RANDBETWEEN(1,100),0)</f>
        <v>Research Station</v>
      </c>
      <c r="P16" t="str" cm="1">
        <f t="array" aca="1" ref="P16" ca="1">INDEX($C$2:$C$21, RANDBETWEEN(1,20),0)</f>
        <v>Toxic</v>
      </c>
      <c r="Q16" t="str" cm="1">
        <f t="array" aca="1" ref="Q16" ca="1">INDEX($D$2:$D$21, RANDBETWEEN(1,20),0)</f>
        <v>Cold</v>
      </c>
      <c r="R16" t="str" cm="1">
        <f t="array" aca="1" ref="R16" ca="1">INDEX($E$2:$E$21, RANDBETWEEN(1,20),0)</f>
        <v>Poisoned</v>
      </c>
      <c r="S16" t="str" cm="1">
        <f t="array" aca="1" ref="S16" ca="1">INDEX($F$2:$F$21, RANDBETWEEN(1,20),0)</f>
        <v>Densely Populated</v>
      </c>
      <c r="T16" t="str" cm="1">
        <f t="array" aca="1" ref="T16" ca="1">INDEX($G$2:$G$21, RANDBETWEEN(1,20),0)</f>
        <v>High</v>
      </c>
      <c r="U16" t="str" cm="1">
        <f t="array" aca="1" ref="U16" ca="1">INDEX($H$2:$H$31, RANDBETWEEN(1,30),0)</f>
        <v>Loyalist Mass Movement</v>
      </c>
      <c r="V16" t="str" cm="1">
        <f t="array" aca="1" ref="V16" ca="1">INDEX($I$2:$I$101, RANDBETWEEN(1,100),0)</f>
        <v>Witch Hunt</v>
      </c>
      <c r="W16" t="str" cm="1">
        <f t="array" aca="1" ref="W16" ca="1">INDEX($I$2:$I$101, RANDBETWEEN(1,100),0)</f>
        <v>Warp Phenomena</v>
      </c>
      <c r="X16" t="str" cm="1">
        <f t="array" aca="1" ref="X16" ca="1">INDEX($I$2:$I$101, RANDBETWEEN(1,100),0)</f>
        <v>Xenophobes</v>
      </c>
    </row>
    <row r="17" spans="1:24" x14ac:dyDescent="0.25">
      <c r="A17" t="s">
        <v>34</v>
      </c>
      <c r="B17" t="s">
        <v>25</v>
      </c>
      <c r="C17" t="s">
        <v>170</v>
      </c>
      <c r="D17" t="s">
        <v>47</v>
      </c>
      <c r="E17" t="s">
        <v>55</v>
      </c>
      <c r="F17" t="s">
        <v>169</v>
      </c>
      <c r="G17" t="s">
        <v>54</v>
      </c>
      <c r="H17" t="s">
        <v>158</v>
      </c>
      <c r="I17" t="s">
        <v>111</v>
      </c>
      <c r="J17" t="s">
        <v>26</v>
      </c>
      <c r="K17">
        <f t="shared" ca="1" si="0"/>
        <v>2</v>
      </c>
      <c r="L17" s="2">
        <f t="shared" ca="1" si="1"/>
        <v>4.2857142857142856</v>
      </c>
      <c r="M17" t="str" cm="1">
        <f t="array" aca="1" ref="M17" ca="1">INDEX($A$2:$A$101, RANDBETWEEN(1,100),0)</f>
        <v>M</v>
      </c>
      <c r="O17" t="str" cm="1">
        <f t="array" aca="1" ref="O17" ca="1">INDEX($B$2:$B$101, RANDBETWEEN(1,100),0)</f>
        <v>Research Station</v>
      </c>
      <c r="P17" t="str" cm="1">
        <f t="array" aca="1" ref="P17" ca="1">INDEX($C$2:$C$21, RANDBETWEEN(1,20),0)</f>
        <v>Thin</v>
      </c>
      <c r="Q17" t="str" cm="1">
        <f t="array" aca="1" ref="Q17" ca="1">INDEX($D$2:$D$21, RANDBETWEEN(1,20),0)</f>
        <v>Temperate</v>
      </c>
      <c r="R17" t="str" cm="1">
        <f t="array" aca="1" ref="R17" ca="1">INDEX($E$2:$E$21, RANDBETWEEN(1,20),0)</f>
        <v>Minimal</v>
      </c>
      <c r="S17" t="str" cm="1">
        <f t="array" aca="1" ref="S17" ca="1">INDEX($F$2:$F$21, RANDBETWEEN(1,20),0)</f>
        <v>Densely Populated</v>
      </c>
      <c r="T17" t="str" cm="1">
        <f t="array" aca="1" ref="T17" ca="1">INDEX($G$2:$G$21, RANDBETWEEN(1,20),0)</f>
        <v>Standard</v>
      </c>
      <c r="U17" t="str" cm="1">
        <f t="array" aca="1" ref="U17" ca="1">INDEX($H$2:$H$31, RANDBETWEEN(1,30),0)</f>
        <v>Guilds / Combines</v>
      </c>
      <c r="V17" t="str" cm="1">
        <f t="array" aca="1" ref="V17" ca="1">INDEX($I$2:$I$101, RANDBETWEEN(1,100),0)</f>
        <v>Desert World</v>
      </c>
      <c r="W17" t="str" cm="1">
        <f t="array" aca="1" ref="W17" ca="1">INDEX($I$2:$I$101, RANDBETWEEN(1,100),0)</f>
        <v>Impending Doom</v>
      </c>
      <c r="X17" t="str" cm="1">
        <f t="array" aca="1" ref="X17" ca="1">INDEX($I$2:$I$101, RANDBETWEEN(1,100),0)</f>
        <v>War Zone</v>
      </c>
    </row>
    <row r="18" spans="1:24" x14ac:dyDescent="0.25">
      <c r="A18" t="s">
        <v>34</v>
      </c>
      <c r="B18" t="s">
        <v>25</v>
      </c>
      <c r="C18" t="s">
        <v>170</v>
      </c>
      <c r="D18" t="s">
        <v>47</v>
      </c>
      <c r="E18" t="s">
        <v>55</v>
      </c>
      <c r="F18" t="s">
        <v>201</v>
      </c>
      <c r="G18" t="s">
        <v>54</v>
      </c>
      <c r="H18" t="s">
        <v>171</v>
      </c>
      <c r="I18" t="s">
        <v>129</v>
      </c>
      <c r="J18" t="s">
        <v>183</v>
      </c>
      <c r="K18">
        <f t="shared" ca="1" si="0"/>
        <v>4</v>
      </c>
      <c r="L18" s="2">
        <f t="shared" ca="1" si="1"/>
        <v>2.6666666666666665</v>
      </c>
      <c r="M18" t="str" cm="1">
        <f t="array" aca="1" ref="M18" ca="1">INDEX($A$2:$A$101, RANDBETWEEN(1,100),0)</f>
        <v>K</v>
      </c>
      <c r="O18" t="str" cm="1">
        <f t="array" aca="1" ref="O18" ca="1">INDEX($B$2:$B$101, RANDBETWEEN(1,100),0)</f>
        <v>Dead World</v>
      </c>
      <c r="P18" t="str" cm="1">
        <f t="array" aca="1" ref="P18" ca="1">INDEX($C$2:$C$21, RANDBETWEEN(1,20),0)</f>
        <v>Airless</v>
      </c>
      <c r="Q18" t="str" cm="1">
        <f t="array" aca="1" ref="Q18" ca="1">INDEX($D$2:$D$21, RANDBETWEEN(1,20),0)</f>
        <v>Cold</v>
      </c>
      <c r="R18" t="str" cm="1">
        <f t="array" aca="1" ref="R18" ca="1">INDEX($E$2:$E$21, RANDBETWEEN(1,20),0)</f>
        <v>Nonexistent</v>
      </c>
      <c r="S18" t="str" cm="1">
        <f t="array" aca="1" ref="S18" ca="1">INDEX($F$2:$F$21, RANDBETWEEN(1,20),0)</f>
        <v>Densely Populated</v>
      </c>
      <c r="T18" t="str" cm="1">
        <f t="array" aca="1" ref="T18" ca="1">INDEX($G$2:$G$21, RANDBETWEEN(1,20),0)</f>
        <v>Archaeotech</v>
      </c>
      <c r="U18" t="str" cm="1">
        <f t="array" aca="1" ref="U18" ca="1">INDEX($H$2:$H$31, RANDBETWEEN(1,30),0)</f>
        <v>Corrupt Aristocrats</v>
      </c>
      <c r="V18" t="str" cm="1">
        <f t="array" aca="1" ref="V18" ca="1">INDEX($I$2:$I$101, RANDBETWEEN(1,100),0)</f>
        <v>Imperial Knights</v>
      </c>
      <c r="W18" t="str" cm="1">
        <f t="array" aca="1" ref="W18" ca="1">INDEX($I$2:$I$101, RANDBETWEEN(1,100),0)</f>
        <v>Seismic Instability</v>
      </c>
      <c r="X18" t="str" cm="1">
        <f t="array" aca="1" ref="X18" ca="1">INDEX($I$2:$I$101, RANDBETWEEN(1,100),0)</f>
        <v>Factional Fragmentation</v>
      </c>
    </row>
    <row r="19" spans="1:24" x14ac:dyDescent="0.25">
      <c r="A19" t="s">
        <v>34</v>
      </c>
      <c r="B19" t="s">
        <v>25</v>
      </c>
      <c r="C19" t="s">
        <v>170</v>
      </c>
      <c r="D19" t="s">
        <v>47</v>
      </c>
      <c r="E19" t="s">
        <v>55</v>
      </c>
      <c r="F19" t="s">
        <v>201</v>
      </c>
      <c r="G19" t="s">
        <v>55</v>
      </c>
      <c r="H19" t="s">
        <v>61</v>
      </c>
      <c r="I19" t="s">
        <v>145</v>
      </c>
      <c r="J19" t="s">
        <v>21</v>
      </c>
      <c r="K19">
        <f t="shared" ca="1" si="0"/>
        <v>11</v>
      </c>
      <c r="L19" s="2">
        <f t="shared" ca="1" si="1"/>
        <v>1.3043478260869565</v>
      </c>
      <c r="M19" t="str" cm="1">
        <f t="array" aca="1" ref="M19" ca="1">INDEX($A$2:$A$101, RANDBETWEEN(1,100),0)</f>
        <v>M</v>
      </c>
      <c r="O19" t="str" cm="1">
        <f t="array" aca="1" ref="O19" ca="1">INDEX($B$2:$B$101, RANDBETWEEN(1,100),0)</f>
        <v>Xenos World</v>
      </c>
      <c r="P19" t="str" cm="1">
        <f t="array" aca="1" ref="P19" ca="1">INDEX($C$2:$C$21, RANDBETWEEN(1,20),0)</f>
        <v>Tainted</v>
      </c>
      <c r="Q19" t="str" cm="1">
        <f t="array" aca="1" ref="Q19" ca="1">INDEX($D$2:$D$21, RANDBETWEEN(1,20),0)</f>
        <v>Cold</v>
      </c>
      <c r="R19" t="str" cm="1">
        <f t="array" aca="1" ref="R19" ca="1">INDEX($E$2:$E$21, RANDBETWEEN(1,20),0)</f>
        <v>Poisoned</v>
      </c>
      <c r="S19" t="str" cm="1">
        <f t="array" aca="1" ref="S19" ca="1">INDEX($F$2:$F$21, RANDBETWEEN(1,20),0)</f>
        <v>Lightly Populated</v>
      </c>
      <c r="T19" t="str" cm="1">
        <f t="array" aca="1" ref="T19" ca="1">INDEX($G$2:$G$21, RANDBETWEEN(1,20),0)</f>
        <v>Xeno Hybrid</v>
      </c>
      <c r="U19" t="str" cm="1">
        <f t="array" aca="1" ref="U19" ca="1">INDEX($H$2:$H$31, RANDBETWEEN(1,30),0)</f>
        <v>Revolutionary Junta</v>
      </c>
      <c r="V19" t="str" cm="1">
        <f t="array" aca="1" ref="V19" ca="1">INDEX($I$2:$I$101, RANDBETWEEN(1,100),0)</f>
        <v>Unmapped Wastes</v>
      </c>
      <c r="W19" t="str" cm="1">
        <f t="array" aca="1" ref="W19" ca="1">INDEX($I$2:$I$101, RANDBETWEEN(1,100),0)</f>
        <v>The Silent Trade</v>
      </c>
      <c r="X19" t="str" cm="1">
        <f t="array" aca="1" ref="X19" ca="1">INDEX($I$2:$I$101, RANDBETWEEN(1,100),0)</f>
        <v>Ocean World</v>
      </c>
    </row>
    <row r="20" spans="1:24" x14ac:dyDescent="0.25">
      <c r="A20" t="s">
        <v>37</v>
      </c>
      <c r="B20" t="s">
        <v>198</v>
      </c>
      <c r="C20" t="s">
        <v>170</v>
      </c>
      <c r="D20" t="s">
        <v>47</v>
      </c>
      <c r="E20" t="s">
        <v>178</v>
      </c>
      <c r="F20" t="s">
        <v>201</v>
      </c>
      <c r="G20" t="s">
        <v>55</v>
      </c>
      <c r="H20" t="s">
        <v>151</v>
      </c>
      <c r="I20" t="s">
        <v>65</v>
      </c>
      <c r="J20" t="s">
        <v>24</v>
      </c>
      <c r="K20">
        <f t="shared" ca="1" si="0"/>
        <v>2</v>
      </c>
      <c r="L20" s="2">
        <f t="shared" ca="1" si="1"/>
        <v>1.263157894736842</v>
      </c>
      <c r="M20" t="str" cm="1">
        <f t="array" aca="1" ref="M20" ca="1">INDEX($A$2:$A$101, RANDBETWEEN(1,100),0)</f>
        <v>B</v>
      </c>
      <c r="O20" t="str" cm="1">
        <f t="array" aca="1" ref="O20" ca="1">INDEX($B$2:$B$101, RANDBETWEEN(1,100),0)</f>
        <v>Industrial World</v>
      </c>
      <c r="P20" t="str" cm="1">
        <f t="array" aca="1" ref="P20" ca="1">INDEX($C$2:$C$21, RANDBETWEEN(1,20),0)</f>
        <v>Corrosive</v>
      </c>
      <c r="Q20" t="str" cm="1">
        <f t="array" aca="1" ref="Q20" ca="1">INDEX($D$2:$D$21, RANDBETWEEN(1,20),0)</f>
        <v>Boiling</v>
      </c>
      <c r="R20" t="str" cm="1">
        <f t="array" aca="1" ref="R20" ca="1">INDEX($E$2:$E$21, RANDBETWEEN(1,20),0)</f>
        <v>Thriving</v>
      </c>
      <c r="S20" t="str" cm="1">
        <f t="array" aca="1" ref="S20" ca="1">INDEX($F$2:$F$21, RANDBETWEEN(1,20),0)</f>
        <v>Densely Populated</v>
      </c>
      <c r="T20" t="str" cm="1">
        <f t="array" aca="1" ref="T20" ca="1">INDEX($G$2:$G$21, RANDBETWEEN(1,20),0)</f>
        <v>Low</v>
      </c>
      <c r="U20" t="str" cm="1">
        <f t="array" aca="1" ref="U20" ca="1">INDEX($H$2:$H$31, RANDBETWEEN(1,30),0)</f>
        <v>Ecclesiarchical Appointee</v>
      </c>
      <c r="V20" t="str" cm="1">
        <f t="array" aca="1" ref="V20" ca="1">INDEX($I$2:$I$101, RANDBETWEEN(1,100),0)</f>
        <v>Notable Local</v>
      </c>
      <c r="W20" t="str" cm="1">
        <f t="array" aca="1" ref="W20" ca="1">INDEX($I$2:$I$101, RANDBETWEEN(1,100),0)</f>
        <v>Hostile Xenos</v>
      </c>
      <c r="X20" t="str" cm="1">
        <f t="array" aca="1" ref="X20" ca="1">INDEX($I$2:$I$101, RANDBETWEEN(1,100),0)</f>
        <v>Jungle World</v>
      </c>
    </row>
    <row r="21" spans="1:24" x14ac:dyDescent="0.25">
      <c r="A21" t="s">
        <v>37</v>
      </c>
      <c r="B21" t="s">
        <v>198</v>
      </c>
      <c r="C21" t="s">
        <v>40</v>
      </c>
      <c r="D21" t="s">
        <v>46</v>
      </c>
      <c r="E21" t="s">
        <v>178</v>
      </c>
      <c r="F21" t="s">
        <v>201</v>
      </c>
      <c r="G21" t="s">
        <v>68</v>
      </c>
      <c r="H21" t="s">
        <v>50</v>
      </c>
      <c r="I21" t="s">
        <v>92</v>
      </c>
      <c r="J21" t="s">
        <v>197</v>
      </c>
      <c r="K21">
        <f t="shared" ca="1" si="0"/>
        <v>3</v>
      </c>
      <c r="L21" s="2">
        <f t="shared" ca="1" si="1"/>
        <v>1.0344827586206897</v>
      </c>
      <c r="M21" t="str" cm="1">
        <f t="array" aca="1" ref="M21" ca="1">INDEX($A$2:$A$101, RANDBETWEEN(1,100),0)</f>
        <v>B</v>
      </c>
      <c r="O21" t="str" cm="1">
        <f t="array" aca="1" ref="O21" ca="1">INDEX($B$2:$B$101, RANDBETWEEN(1,100),0)</f>
        <v>Pleasure World</v>
      </c>
      <c r="P21" t="str" cm="1">
        <f t="array" aca="1" ref="P21" ca="1">INDEX($C$2:$C$21, RANDBETWEEN(1,20),0)</f>
        <v>Tainted</v>
      </c>
      <c r="Q21" t="str" cm="1">
        <f t="array" aca="1" ref="Q21" ca="1">INDEX($D$2:$D$21, RANDBETWEEN(1,20),0)</f>
        <v>Temperate</v>
      </c>
      <c r="R21" t="str" cm="1">
        <f t="array" aca="1" ref="R21" ca="1">INDEX($E$2:$E$21, RANDBETWEEN(1,20),0)</f>
        <v>Nonexistent</v>
      </c>
      <c r="S21" t="str" cm="1">
        <f t="array" aca="1" ref="S21" ca="1">INDEX($F$2:$F$21, RANDBETWEEN(1,20),0)</f>
        <v>Extremely Dense</v>
      </c>
      <c r="T21" t="str" cm="1">
        <f t="array" aca="1" ref="T21" ca="1">INDEX($G$2:$G$21, RANDBETWEEN(1,20),0)</f>
        <v>Archaeotech</v>
      </c>
      <c r="U21" t="str" cm="1">
        <f t="array" aca="1" ref="U21" ca="1">INDEX($H$2:$H$31, RANDBETWEEN(1,30),0)</f>
        <v>Revolutionary Junta</v>
      </c>
      <c r="V21" t="str" cm="1">
        <f t="array" aca="1" ref="V21" ca="1">INDEX($I$2:$I$101, RANDBETWEEN(1,100),0)</f>
        <v>Mass Panic</v>
      </c>
      <c r="W21" t="str" cm="1">
        <f t="array" aca="1" ref="W21" ca="1">INDEX($I$2:$I$101, RANDBETWEEN(1,100),0)</f>
        <v>Inquisition Outpost</v>
      </c>
      <c r="X21" t="str" cm="1">
        <f t="array" aca="1" ref="X21" ca="1">INDEX($I$2:$I$101, RANDBETWEEN(1,100),0)</f>
        <v>Navigator House</v>
      </c>
    </row>
    <row r="22" spans="1:24" x14ac:dyDescent="0.25">
      <c r="A22" t="s">
        <v>37</v>
      </c>
      <c r="B22" t="s">
        <v>198</v>
      </c>
      <c r="H22" t="s">
        <v>58</v>
      </c>
      <c r="I22" t="s">
        <v>104</v>
      </c>
      <c r="J22" t="s">
        <v>184</v>
      </c>
      <c r="K22">
        <f t="shared" ca="1" si="0"/>
        <v>2</v>
      </c>
      <c r="L22" s="2">
        <f t="shared" ca="1" si="1"/>
        <v>1.0256410256410255</v>
      </c>
      <c r="M22" t="str" cm="1">
        <f t="array" aca="1" ref="M22" ca="1">INDEX($A$2:$A$101, RANDBETWEEN(1,100),0)</f>
        <v>M</v>
      </c>
      <c r="O22" t="str" cm="1">
        <f t="array" aca="1" ref="O22" ca="1">INDEX($B$2:$B$101, RANDBETWEEN(1,100),0)</f>
        <v>Tomb World</v>
      </c>
      <c r="P22" t="str" cm="1">
        <f t="array" aca="1" ref="P22" ca="1">INDEX($C$2:$C$21, RANDBETWEEN(1,20),0)</f>
        <v>Thin</v>
      </c>
      <c r="Q22" t="str" cm="1">
        <f t="array" aca="1" ref="Q22" ca="1">INDEX($D$2:$D$21, RANDBETWEEN(1,20),0)</f>
        <v>Hot</v>
      </c>
      <c r="R22" t="str" cm="1">
        <f t="array" aca="1" ref="R22" ca="1">INDEX($E$2:$E$21, RANDBETWEEN(1,20),0)</f>
        <v>Minimal</v>
      </c>
      <c r="S22" t="str" cm="1">
        <f t="array" aca="1" ref="S22" ca="1">INDEX($F$2:$F$21, RANDBETWEEN(1,20),0)</f>
        <v>Extremely Dense</v>
      </c>
      <c r="T22" t="str" cm="1">
        <f t="array" aca="1" ref="T22" ca="1">INDEX($G$2:$G$21, RANDBETWEEN(1,20),0)</f>
        <v>Xeno Hybrid</v>
      </c>
      <c r="U22" t="str" cm="1">
        <f t="array" aca="1" ref="U22" ca="1">INDEX($H$2:$H$31, RANDBETWEEN(1,30),0)</f>
        <v>Balkanized Local Factions</v>
      </c>
      <c r="V22" t="str" cm="1">
        <f t="array" aca="1" ref="V22" ca="1">INDEX($I$2:$I$101, RANDBETWEEN(1,100),0)</f>
        <v>Flying Cities</v>
      </c>
      <c r="W22" t="str" cm="1">
        <f t="array" aca="1" ref="W22" ca="1">INDEX($I$2:$I$101, RANDBETWEEN(1,100),0)</f>
        <v>Verdant Ecology</v>
      </c>
      <c r="X22" t="str" cm="1">
        <f t="array" aca="1" ref="X22" ca="1">INDEX($I$2:$I$101, RANDBETWEEN(1,100),0)</f>
        <v>Sole Suppliers</v>
      </c>
    </row>
    <row r="23" spans="1:24" x14ac:dyDescent="0.25">
      <c r="A23" t="s">
        <v>37</v>
      </c>
      <c r="B23" t="s">
        <v>64</v>
      </c>
      <c r="H23" t="s">
        <v>67</v>
      </c>
      <c r="I23" t="s">
        <v>106</v>
      </c>
      <c r="J23" t="s">
        <v>199</v>
      </c>
      <c r="K23">
        <f t="shared" ca="1" si="0"/>
        <v>0</v>
      </c>
      <c r="L23" s="2">
        <f t="shared" ca="1" si="1"/>
        <v>1.4814814814814814</v>
      </c>
      <c r="M23" t="str" cm="1">
        <f t="array" aca="1" ref="M23" ca="1">INDEX($A$2:$A$101, RANDBETWEEN(1,100),0)</f>
        <v>M</v>
      </c>
      <c r="O23" t="str" cm="1">
        <f t="array" aca="1" ref="O23" ca="1">INDEX($B$2:$B$101, RANDBETWEEN(1,100),0)</f>
        <v>Bastion World</v>
      </c>
      <c r="P23" t="str" cm="1">
        <f t="array" aca="1" ref="P23" ca="1">INDEX($C$2:$C$21, RANDBETWEEN(1,20),0)</f>
        <v>Corrosive</v>
      </c>
      <c r="Q23" t="str" cm="1">
        <f t="array" aca="1" ref="Q23" ca="1">INDEX($D$2:$D$21, RANDBETWEEN(1,20),0)</f>
        <v>Freezing</v>
      </c>
      <c r="R23" t="str" cm="1">
        <f t="array" aca="1" ref="R23" ca="1">INDEX($E$2:$E$21, RANDBETWEEN(1,20),0)</f>
        <v>Xeno Hybrid</v>
      </c>
      <c r="S23" t="str" cm="1">
        <f t="array" aca="1" ref="S23" ca="1">INDEX($F$2:$F$21, RANDBETWEEN(1,20),0)</f>
        <v>Densely Populated</v>
      </c>
      <c r="T23" t="str" cm="1">
        <f t="array" aca="1" ref="T23" ca="1">INDEX($G$2:$G$21, RANDBETWEEN(1,20),0)</f>
        <v>Low</v>
      </c>
      <c r="U23" t="str" cm="1">
        <f t="array" aca="1" ref="U23" ca="1">INDEX($H$2:$H$31, RANDBETWEEN(1,30),0)</f>
        <v>Rogue Trader Dynasty</v>
      </c>
      <c r="V23" t="str" cm="1">
        <f t="array" aca="1" ref="V23" ca="1">INDEX($I$2:$I$101, RANDBETWEEN(1,100),0)</f>
        <v>War Zone</v>
      </c>
      <c r="W23" t="str" cm="1">
        <f t="array" aca="1" ref="W23" ca="1">INDEX($I$2:$I$101, RANDBETWEEN(1,100),0)</f>
        <v>Inquisition Outpost</v>
      </c>
      <c r="X23" t="str" cm="1">
        <f t="array" aca="1" ref="X23" ca="1">INDEX($I$2:$I$101, RANDBETWEEN(1,100),0)</f>
        <v>Pocket Empire</v>
      </c>
    </row>
    <row r="24" spans="1:24" x14ac:dyDescent="0.25">
      <c r="A24" t="s">
        <v>37</v>
      </c>
      <c r="B24" t="s">
        <v>64</v>
      </c>
      <c r="H24" t="s">
        <v>161</v>
      </c>
      <c r="I24" t="s">
        <v>101</v>
      </c>
      <c r="L24" s="2">
        <f t="shared" ca="1" si="1"/>
        <v>1.263157894736842</v>
      </c>
      <c r="M24" t="str" cm="1">
        <f t="array" aca="1" ref="M24" ca="1">INDEX($A$2:$A$101, RANDBETWEEN(1,100),0)</f>
        <v>K</v>
      </c>
      <c r="O24" t="str" cm="1">
        <f t="array" aca="1" ref="O24" ca="1">INDEX($B$2:$B$101, RANDBETWEEN(1,100),0)</f>
        <v>Frontier World</v>
      </c>
      <c r="P24" t="str" cm="1">
        <f t="array" aca="1" ref="P24" ca="1">INDEX($C$2:$C$21, RANDBETWEEN(1,20),0)</f>
        <v>Thin</v>
      </c>
      <c r="Q24" t="str" cm="1">
        <f t="array" aca="1" ref="Q24" ca="1">INDEX($D$2:$D$21, RANDBETWEEN(1,20),0)</f>
        <v>Freezing</v>
      </c>
      <c r="R24" t="str" cm="1">
        <f t="array" aca="1" ref="R24" ca="1">INDEX($E$2:$E$21, RANDBETWEEN(1,20),0)</f>
        <v>Poisoned</v>
      </c>
      <c r="S24" t="str" cm="1">
        <f t="array" aca="1" ref="S24" ca="1">INDEX($F$2:$F$21, RANDBETWEEN(1,20),0)</f>
        <v>Lightly Populated</v>
      </c>
      <c r="T24" t="str" cm="1">
        <f t="array" aca="1" ref="T24" ca="1">INDEX($G$2:$G$21, RANDBETWEEN(1,20),0)</f>
        <v>Standard</v>
      </c>
      <c r="U24" t="str" cm="1">
        <f t="array" aca="1" ref="U24" ca="1">INDEX($H$2:$H$31, RANDBETWEEN(1,30),0)</f>
        <v>Revolutionary Junta</v>
      </c>
      <c r="V24" t="str" cm="1">
        <f t="array" aca="1" ref="V24" ca="1">INDEX($I$2:$I$101, RANDBETWEEN(1,100),0)</f>
        <v>The Silent Trade</v>
      </c>
      <c r="W24" t="str" cm="1">
        <f t="array" aca="1" ref="W24" ca="1">INDEX($I$2:$I$101, RANDBETWEEN(1,100),0)</f>
        <v>Flying Cities</v>
      </c>
      <c r="X24" t="str" cm="1">
        <f t="array" aca="1" ref="X24" ca="1">INDEX($I$2:$I$101, RANDBETWEEN(1,100),0)</f>
        <v>Freeport</v>
      </c>
    </row>
    <row r="25" spans="1:24" x14ac:dyDescent="0.25">
      <c r="A25" t="s">
        <v>37</v>
      </c>
      <c r="B25" t="s">
        <v>64</v>
      </c>
      <c r="H25" t="s">
        <v>162</v>
      </c>
      <c r="I25" t="s">
        <v>78</v>
      </c>
      <c r="J25" t="s">
        <v>43</v>
      </c>
      <c r="K25">
        <f ca="1">COUNTIF($P$1:$P$121,J25)</f>
        <v>14</v>
      </c>
      <c r="L25" s="2">
        <f t="shared" ca="1" si="1"/>
        <v>1.1538461538461537</v>
      </c>
      <c r="M25" t="str" cm="1">
        <f t="array" aca="1" ref="M25" ca="1">INDEX($A$2:$A$101, RANDBETWEEN(1,100),0)</f>
        <v>M</v>
      </c>
      <c r="O25" t="str" cm="1">
        <f t="array" aca="1" ref="O25" ca="1">INDEX($B$2:$B$101, RANDBETWEEN(1,100),0)</f>
        <v>Bastion World</v>
      </c>
      <c r="P25" t="str" cm="1">
        <f t="array" aca="1" ref="P25" ca="1">INDEX($C$2:$C$21, RANDBETWEEN(1,20),0)</f>
        <v>Breathable</v>
      </c>
      <c r="Q25" t="str" cm="1">
        <f t="array" aca="1" ref="Q25" ca="1">INDEX($D$2:$D$21, RANDBETWEEN(1,20),0)</f>
        <v>Temperate</v>
      </c>
      <c r="R25" t="str" cm="1">
        <f t="array" aca="1" ref="R25" ca="1">INDEX($E$2:$E$21, RANDBETWEEN(1,20),0)</f>
        <v>Poisoned</v>
      </c>
      <c r="S25" t="str" cm="1">
        <f t="array" aca="1" ref="S25" ca="1">INDEX($F$2:$F$21, RANDBETWEEN(1,20),0)</f>
        <v>Minimal</v>
      </c>
      <c r="T25" t="str" cm="1">
        <f t="array" aca="1" ref="T25" ca="1">INDEX($G$2:$G$21, RANDBETWEEN(1,20),0)</f>
        <v>Standard</v>
      </c>
      <c r="U25" t="str" cm="1">
        <f t="array" aca="1" ref="U25" ca="1">INDEX($H$2:$H$31, RANDBETWEEN(1,30),0)</f>
        <v>Chaos Cult</v>
      </c>
      <c r="V25" t="str" cm="1">
        <f t="array" aca="1" ref="V25" ca="1">INDEX($I$2:$I$101, RANDBETWEEN(1,100),0)</f>
        <v>Xenophiles</v>
      </c>
      <c r="W25" t="str" cm="1">
        <f t="array" aca="1" ref="W25" ca="1">INDEX($I$2:$I$101, RANDBETWEEN(1,100),0)</f>
        <v>Crumbling Arcologies</v>
      </c>
      <c r="X25" t="str" cm="1">
        <f t="array" aca="1" ref="X25" ca="1">INDEX($I$2:$I$101, RANDBETWEEN(1,100),0)</f>
        <v>Unmapped Wastes</v>
      </c>
    </row>
    <row r="26" spans="1:24" x14ac:dyDescent="0.25">
      <c r="A26" t="s">
        <v>37</v>
      </c>
      <c r="B26" t="s">
        <v>64</v>
      </c>
      <c r="H26" t="s">
        <v>163</v>
      </c>
      <c r="I26" t="s">
        <v>143</v>
      </c>
      <c r="J26" t="s">
        <v>39</v>
      </c>
      <c r="K26">
        <f t="shared" ref="K26:K31" ca="1" si="2">COUNTIF($P$1:$P$121,J26)</f>
        <v>42</v>
      </c>
      <c r="L26" s="2">
        <f t="shared" ca="1" si="1"/>
        <v>5.7142857142857144</v>
      </c>
      <c r="M26" t="str" cm="1">
        <f t="array" aca="1" ref="M26" ca="1">INDEX($A$2:$A$101, RANDBETWEEN(1,100),0)</f>
        <v>G</v>
      </c>
      <c r="O26" t="str" cm="1">
        <f t="array" aca="1" ref="O26" ca="1">INDEX($B$2:$B$101, RANDBETWEEN(1,100),0)</f>
        <v>Bastion World</v>
      </c>
      <c r="P26" t="str" cm="1">
        <f t="array" aca="1" ref="P26" ca="1">INDEX($C$2:$C$21, RANDBETWEEN(1,20),0)</f>
        <v>Tainted</v>
      </c>
      <c r="Q26" t="str" cm="1">
        <f t="array" aca="1" ref="Q26" ca="1">INDEX($D$2:$D$21, RANDBETWEEN(1,20),0)</f>
        <v>Temperate</v>
      </c>
      <c r="R26" t="str" cm="1">
        <f t="array" aca="1" ref="R26" ca="1">INDEX($E$2:$E$21, RANDBETWEEN(1,20),0)</f>
        <v>Thriving</v>
      </c>
      <c r="S26" t="str" cm="1">
        <f t="array" aca="1" ref="S26" ca="1">INDEX($F$2:$F$21, RANDBETWEEN(1,20),0)</f>
        <v>Densely Populated</v>
      </c>
      <c r="T26" t="str" cm="1">
        <f t="array" aca="1" ref="T26" ca="1">INDEX($G$2:$G$21, RANDBETWEEN(1,20),0)</f>
        <v>Low</v>
      </c>
      <c r="U26" t="str" cm="1">
        <f t="array" aca="1" ref="U26" ca="1">INDEX($H$2:$H$31, RANDBETWEEN(1,30),0)</f>
        <v>Shadowy Psyker Cabal</v>
      </c>
      <c r="V26" t="str" cm="1">
        <f t="array" aca="1" ref="V26" ca="1">INDEX($I$2:$I$101, RANDBETWEEN(1,100),0)</f>
        <v>Cold War</v>
      </c>
      <c r="W26" t="str" cm="1">
        <f t="array" aca="1" ref="W26" ca="1">INDEX($I$2:$I$101, RANDBETWEEN(1,100),0)</f>
        <v>Daemonic Corruption</v>
      </c>
      <c r="X26" t="str" cm="1">
        <f t="array" aca="1" ref="X26" ca="1">INDEX($I$2:$I$101, RANDBETWEEN(1,100),0)</f>
        <v>Seagoing Cities</v>
      </c>
    </row>
    <row r="27" spans="1:24" x14ac:dyDescent="0.25">
      <c r="A27" t="s">
        <v>37</v>
      </c>
      <c r="B27" t="s">
        <v>64</v>
      </c>
      <c r="H27" t="s">
        <v>192</v>
      </c>
      <c r="I27" t="s">
        <v>193</v>
      </c>
      <c r="J27" t="s">
        <v>41</v>
      </c>
      <c r="K27">
        <f t="shared" ca="1" si="2"/>
        <v>6</v>
      </c>
      <c r="L27" s="2">
        <f t="shared" ca="1" si="1"/>
        <v>1.3953488372093024</v>
      </c>
      <c r="M27" t="str" cm="1">
        <f t="array" aca="1" ref="M27" ca="1">INDEX($A$2:$A$101, RANDBETWEEN(1,100),0)</f>
        <v>F</v>
      </c>
      <c r="O27" t="str" cm="1">
        <f t="array" aca="1" ref="O27" ca="1">INDEX($B$2:$B$101, RANDBETWEEN(1,100),0)</f>
        <v>Death World</v>
      </c>
      <c r="P27" t="str" cm="1">
        <f t="array" aca="1" ref="P27" ca="1">INDEX($C$2:$C$21, RANDBETWEEN(1,20),0)</f>
        <v>Breathable</v>
      </c>
      <c r="Q27" t="str" cm="1">
        <f t="array" aca="1" ref="Q27" ca="1">INDEX($D$2:$D$21, RANDBETWEEN(1,20),0)</f>
        <v>Hot</v>
      </c>
      <c r="R27" t="str" cm="1">
        <f t="array" aca="1" ref="R27" ca="1">INDEX($E$2:$E$21, RANDBETWEEN(1,20),0)</f>
        <v>Thriving</v>
      </c>
      <c r="S27" t="str" cm="1">
        <f t="array" aca="1" ref="S27" ca="1">INDEX($F$2:$F$21, RANDBETWEEN(1,20),0)</f>
        <v>Lightly Populated</v>
      </c>
      <c r="T27" t="str" cm="1">
        <f t="array" aca="1" ref="T27" ca="1">INDEX($G$2:$G$21, RANDBETWEEN(1,20),0)</f>
        <v>Low</v>
      </c>
      <c r="U27" t="str" cm="1">
        <f t="array" aca="1" ref="U27" ca="1">INDEX($H$2:$H$31, RANDBETWEEN(1,30),0)</f>
        <v>Local Religious Authorities</v>
      </c>
      <c r="V27" t="str" cm="1">
        <f t="array" aca="1" ref="V27" ca="1">INDEX($I$2:$I$101, RANDBETWEEN(1,100),0)</f>
        <v>The Silent Trade</v>
      </c>
      <c r="W27" t="str" cm="1">
        <f t="array" aca="1" ref="W27" ca="1">INDEX($I$2:$I$101, RANDBETWEEN(1,100),0)</f>
        <v>Libertines</v>
      </c>
      <c r="X27" t="str" cm="1">
        <f t="array" aca="1" ref="X27" ca="1">INDEX($I$2:$I$101, RANDBETWEEN(1,100),0)</f>
        <v>Mutant Hordes</v>
      </c>
    </row>
    <row r="28" spans="1:24" x14ac:dyDescent="0.25">
      <c r="A28" t="s">
        <v>37</v>
      </c>
      <c r="B28" t="s">
        <v>64</v>
      </c>
      <c r="H28" t="s">
        <v>203</v>
      </c>
      <c r="I28" t="s">
        <v>146</v>
      </c>
      <c r="J28" t="s">
        <v>149</v>
      </c>
      <c r="K28">
        <f t="shared" ca="1" si="2"/>
        <v>8</v>
      </c>
      <c r="L28" s="2">
        <f t="shared" ca="1" si="1"/>
        <v>1.5384615384615385</v>
      </c>
      <c r="M28" t="str" cm="1">
        <f t="array" aca="1" ref="M28" ca="1">INDEX($A$2:$A$101, RANDBETWEEN(1,100),0)</f>
        <v>F</v>
      </c>
      <c r="O28" t="str" cm="1">
        <f t="array" aca="1" ref="O28" ca="1">INDEX($B$2:$B$101, RANDBETWEEN(1,100),0)</f>
        <v>Industrial World</v>
      </c>
      <c r="P28" t="str" cm="1">
        <f t="array" aca="1" ref="P28" ca="1">INDEX($C$2:$C$21, RANDBETWEEN(1,20),0)</f>
        <v>Thin</v>
      </c>
      <c r="Q28" t="str" cm="1">
        <f t="array" aca="1" ref="Q28" ca="1">INDEX($D$2:$D$21, RANDBETWEEN(1,20),0)</f>
        <v>Temperate</v>
      </c>
      <c r="R28" t="str" cm="1">
        <f t="array" aca="1" ref="R28" ca="1">INDEX($E$2:$E$21, RANDBETWEEN(1,20),0)</f>
        <v>Minimal</v>
      </c>
      <c r="S28" t="str" cm="1">
        <f t="array" aca="1" ref="S28" ca="1">INDEX($F$2:$F$21, RANDBETWEEN(1,20),0)</f>
        <v>Sole Settlement</v>
      </c>
      <c r="T28" t="str" cm="1">
        <f t="array" aca="1" ref="T28" ca="1">INDEX($G$2:$G$21, RANDBETWEEN(1,20),0)</f>
        <v>Low</v>
      </c>
      <c r="U28" t="str" cm="1">
        <f t="array" aca="1" ref="U28" ca="1">INDEX($H$2:$H$31, RANDBETWEEN(1,30),0)</f>
        <v>Puppet Government</v>
      </c>
      <c r="V28" t="str" cm="1">
        <f t="array" aca="1" ref="V28" ca="1">INDEX($I$2:$I$101, RANDBETWEEN(1,100),0)</f>
        <v>Ocean World</v>
      </c>
      <c r="W28" t="str" cm="1">
        <f t="array" aca="1" ref="W28" ca="1">INDEX($I$2:$I$101, RANDBETWEEN(1,100),0)</f>
        <v>Great Work</v>
      </c>
      <c r="X28" t="str" cm="1">
        <f t="array" aca="1" ref="X28" ca="1">INDEX($I$2:$I$101, RANDBETWEEN(1,100),0)</f>
        <v>Flying Cities</v>
      </c>
    </row>
    <row r="29" spans="1:24" x14ac:dyDescent="0.25">
      <c r="A29" t="s">
        <v>37</v>
      </c>
      <c r="B29" t="s">
        <v>64</v>
      </c>
      <c r="H29" t="s">
        <v>157</v>
      </c>
      <c r="I29" t="s">
        <v>121</v>
      </c>
      <c r="J29" t="s">
        <v>42</v>
      </c>
      <c r="K29">
        <f t="shared" ca="1" si="2"/>
        <v>20</v>
      </c>
      <c r="L29" s="2">
        <f t="shared" ca="1" si="1"/>
        <v>1.0169491525423728</v>
      </c>
      <c r="M29" t="str" cm="1">
        <f t="array" aca="1" ref="M29" ca="1">INDEX($A$2:$A$101, RANDBETWEEN(1,100),0)</f>
        <v>K</v>
      </c>
      <c r="O29" t="str" cm="1">
        <f t="array" aca="1" ref="O29" ca="1">INDEX($B$2:$B$101, RANDBETWEEN(1,100),0)</f>
        <v>Industrial World</v>
      </c>
      <c r="P29" t="str" cm="1">
        <f t="array" aca="1" ref="P29" ca="1">INDEX($C$2:$C$21, RANDBETWEEN(1,20),0)</f>
        <v>Thin</v>
      </c>
      <c r="Q29" t="str" cm="1">
        <f t="array" aca="1" ref="Q29" ca="1">INDEX($D$2:$D$21, RANDBETWEEN(1,20),0)</f>
        <v>Temperate</v>
      </c>
      <c r="R29" t="str" cm="1">
        <f t="array" aca="1" ref="R29" ca="1">INDEX($E$2:$E$21, RANDBETWEEN(1,20),0)</f>
        <v>Minimal</v>
      </c>
      <c r="S29" t="str" cm="1">
        <f t="array" aca="1" ref="S29" ca="1">INDEX($F$2:$F$21, RANDBETWEEN(1,20),0)</f>
        <v>Extremely Dense</v>
      </c>
      <c r="T29" t="str" cm="1">
        <f t="array" aca="1" ref="T29" ca="1">INDEX($G$2:$G$21, RANDBETWEEN(1,20),0)</f>
        <v>Low</v>
      </c>
      <c r="U29" t="str" cm="1">
        <f t="array" aca="1" ref="U29" ca="1">INDEX($H$2:$H$31, RANDBETWEEN(1,30),0)</f>
        <v>Military Governor</v>
      </c>
      <c r="V29" t="str" cm="1">
        <f t="array" aca="1" ref="V29" ca="1">INDEX($I$2:$I$101, RANDBETWEEN(1,100),0)</f>
        <v>Deviant Religion</v>
      </c>
      <c r="W29" t="str" cm="1">
        <f t="array" aca="1" ref="W29" ca="1">INDEX($I$2:$I$101, RANDBETWEEN(1,100),0)</f>
        <v>Mutant Hordes</v>
      </c>
      <c r="X29" t="str" cm="1">
        <f t="array" aca="1" ref="X29" ca="1">INDEX($I$2:$I$101, RANDBETWEEN(1,100),0)</f>
        <v>Heavy Industry</v>
      </c>
    </row>
    <row r="30" spans="1:24" x14ac:dyDescent="0.25">
      <c r="A30" t="s">
        <v>37</v>
      </c>
      <c r="B30" t="s">
        <v>64</v>
      </c>
      <c r="H30" t="s">
        <v>60</v>
      </c>
      <c r="I30" t="s">
        <v>132</v>
      </c>
      <c r="J30" t="s">
        <v>170</v>
      </c>
      <c r="K30">
        <f t="shared" ca="1" si="2"/>
        <v>25</v>
      </c>
      <c r="L30" s="2">
        <f t="shared" ca="1" si="1"/>
        <v>1.0810810810810811</v>
      </c>
      <c r="M30" t="str" cm="1">
        <f t="array" aca="1" ref="M30" ca="1">INDEX($A$2:$A$101, RANDBETWEEN(1,100),0)</f>
        <v>M</v>
      </c>
      <c r="O30" t="str" cm="1">
        <f t="array" aca="1" ref="O30" ca="1">INDEX($B$2:$B$101, RANDBETWEEN(1,100),0)</f>
        <v>Death World</v>
      </c>
      <c r="P30" t="str" cm="1">
        <f t="array" aca="1" ref="P30" ca="1">INDEX($C$2:$C$21, RANDBETWEEN(1,20),0)</f>
        <v>Thin</v>
      </c>
      <c r="Q30" t="str" cm="1">
        <f t="array" aca="1" ref="Q30" ca="1">INDEX($D$2:$D$21, RANDBETWEEN(1,20),0)</f>
        <v>Cold</v>
      </c>
      <c r="R30" t="str" cm="1">
        <f t="array" aca="1" ref="R30" ca="1">INDEX($E$2:$E$21, RANDBETWEEN(1,20),0)</f>
        <v>Nonexistent</v>
      </c>
      <c r="S30" t="str" cm="1">
        <f t="array" aca="1" ref="S30" ca="1">INDEX($F$2:$F$21, RANDBETWEEN(1,20),0)</f>
        <v>Lightly Populated</v>
      </c>
      <c r="T30" t="str" cm="1">
        <f t="array" aca="1" ref="T30" ca="1">INDEX($G$2:$G$21, RANDBETWEEN(1,20),0)</f>
        <v>Xeno Hybrid</v>
      </c>
      <c r="U30" t="str" cm="1">
        <f t="array" aca="1" ref="U30" ca="1">INDEX($H$2:$H$31, RANDBETWEEN(1,30),0)</f>
        <v>None</v>
      </c>
      <c r="V30" t="str" cm="1">
        <f t="array" aca="1" ref="V30" ca="1">INDEX($I$2:$I$101, RANDBETWEEN(1,100),0)</f>
        <v>Subsector Hegemon</v>
      </c>
      <c r="W30" t="str" cm="1">
        <f t="array" aca="1" ref="W30" ca="1">INDEX($I$2:$I$101, RANDBETWEEN(1,100),0)</f>
        <v>Powerful Nobles</v>
      </c>
      <c r="X30" t="str" cm="1">
        <f t="array" aca="1" ref="X30" ca="1">INDEX($I$2:$I$101, RANDBETWEEN(1,100),0)</f>
        <v>Cold War</v>
      </c>
    </row>
    <row r="31" spans="1:24" x14ac:dyDescent="0.25">
      <c r="A31" t="s">
        <v>37</v>
      </c>
      <c r="B31" t="s">
        <v>64</v>
      </c>
      <c r="H31" t="s">
        <v>154</v>
      </c>
      <c r="I31" t="s">
        <v>115</v>
      </c>
      <c r="J31" t="s">
        <v>40</v>
      </c>
      <c r="K31">
        <f t="shared" ca="1" si="2"/>
        <v>5</v>
      </c>
      <c r="L31" s="2">
        <f t="shared" ca="1" si="1"/>
        <v>4.615384615384615</v>
      </c>
      <c r="M31" t="str" cm="1">
        <f t="array" aca="1" ref="M31" ca="1">INDEX($A$2:$A$101, RANDBETWEEN(1,100),0)</f>
        <v>K</v>
      </c>
      <c r="O31" t="str" cm="1">
        <f t="array" aca="1" ref="O31" ca="1">INDEX($B$2:$B$101, RANDBETWEEN(1,100),0)</f>
        <v>Frontier World</v>
      </c>
      <c r="P31" t="str" cm="1">
        <f t="array" aca="1" ref="P31" ca="1">INDEX($C$2:$C$21, RANDBETWEEN(1,20),0)</f>
        <v>Tainted</v>
      </c>
      <c r="Q31" t="str" cm="1">
        <f t="array" aca="1" ref="Q31" ca="1">INDEX($D$2:$D$21, RANDBETWEEN(1,20),0)</f>
        <v>Cold</v>
      </c>
      <c r="R31" t="str" cm="1">
        <f t="array" aca="1" ref="R31" ca="1">INDEX($E$2:$E$21, RANDBETWEEN(1,20),0)</f>
        <v>Poisoned</v>
      </c>
      <c r="S31" t="str" cm="1">
        <f t="array" aca="1" ref="S31" ca="1">INDEX($F$2:$F$21, RANDBETWEEN(1,20),0)</f>
        <v>Densely Populated</v>
      </c>
      <c r="T31" t="str" cm="1">
        <f t="array" aca="1" ref="T31" ca="1">INDEX($G$2:$G$21, RANDBETWEEN(1,20),0)</f>
        <v>High</v>
      </c>
      <c r="U31" t="str" cm="1">
        <f t="array" aca="1" ref="U31" ca="1">INDEX($H$2:$H$31, RANDBETWEEN(1,30),0)</f>
        <v>Traditional Oligarchy</v>
      </c>
      <c r="V31" t="str" cm="1">
        <f t="array" aca="1" ref="V31" ca="1">INDEX($I$2:$I$101, RANDBETWEEN(1,100),0)</f>
        <v>Ancient Tombs</v>
      </c>
      <c r="W31" t="str" cm="1">
        <f t="array" aca="1" ref="W31" ca="1">INDEX($I$2:$I$101, RANDBETWEEN(1,100),0)</f>
        <v>Forbidden Tech</v>
      </c>
      <c r="X31" t="str" cm="1">
        <f t="array" aca="1" ref="X31" ca="1">INDEX($I$2:$I$101, RANDBETWEEN(1,100),0)</f>
        <v>Space Hulks</v>
      </c>
    </row>
    <row r="32" spans="1:24" x14ac:dyDescent="0.25">
      <c r="A32" t="s">
        <v>37</v>
      </c>
      <c r="B32" t="s">
        <v>64</v>
      </c>
      <c r="I32" t="s">
        <v>70</v>
      </c>
      <c r="L32" s="2">
        <f t="shared" ca="1" si="1"/>
        <v>1.6901408450704225</v>
      </c>
      <c r="M32" t="str" cm="1">
        <f t="array" aca="1" ref="M32" ca="1">INDEX($A$2:$A$101, RANDBETWEEN(1,100),0)</f>
        <v>M</v>
      </c>
      <c r="O32" t="str" cm="1">
        <f t="array" aca="1" ref="O32" ca="1">INDEX($B$2:$B$101, RANDBETWEEN(1,100),0)</f>
        <v>Feral World</v>
      </c>
      <c r="P32" t="str" cm="1">
        <f t="array" aca="1" ref="P32" ca="1">INDEX($C$2:$C$21, RANDBETWEEN(1,20),0)</f>
        <v>Breathable</v>
      </c>
      <c r="Q32" t="str" cm="1">
        <f t="array" aca="1" ref="Q32" ca="1">INDEX($D$2:$D$21, RANDBETWEEN(1,20),0)</f>
        <v>Hot</v>
      </c>
      <c r="R32" t="str" cm="1">
        <f t="array" aca="1" ref="R32" ca="1">INDEX($E$2:$E$21, RANDBETWEEN(1,20),0)</f>
        <v>Thriving</v>
      </c>
      <c r="S32" t="str" cm="1">
        <f t="array" aca="1" ref="S32" ca="1">INDEX($F$2:$F$21, RANDBETWEEN(1,20),0)</f>
        <v>Sole Settlement</v>
      </c>
      <c r="T32" t="str" cm="1">
        <f t="array" aca="1" ref="T32" ca="1">INDEX($G$2:$G$21, RANDBETWEEN(1,20),0)</f>
        <v>High</v>
      </c>
      <c r="U32" t="str" cm="1">
        <f t="array" aca="1" ref="U32" ca="1">INDEX($H$2:$H$31, RANDBETWEEN(1,30),0)</f>
        <v>Warlords</v>
      </c>
      <c r="V32" t="str" cm="1">
        <f t="array" aca="1" ref="V32" ca="1">INDEX($I$2:$I$101, RANDBETWEEN(1,100),0)</f>
        <v>Navigator House</v>
      </c>
      <c r="W32" t="str" cm="1">
        <f t="array" aca="1" ref="W32" ca="1">INDEX($I$2:$I$101, RANDBETWEEN(1,100),0)</f>
        <v>Silica Animus</v>
      </c>
      <c r="X32" t="str" cm="1">
        <f t="array" aca="1" ref="X32" ca="1">INDEX($I$2:$I$101, RANDBETWEEN(1,100),0)</f>
        <v>Psyker Academy</v>
      </c>
    </row>
    <row r="33" spans="1:24" x14ac:dyDescent="0.25">
      <c r="A33" t="s">
        <v>37</v>
      </c>
      <c r="B33" t="s">
        <v>17</v>
      </c>
      <c r="I33" t="s">
        <v>123</v>
      </c>
      <c r="J33" t="s">
        <v>44</v>
      </c>
      <c r="K33">
        <f ca="1">COUNTIF($Q$1:$Q$121,J33)</f>
        <v>10</v>
      </c>
      <c r="L33" s="2">
        <f t="shared" ca="1" si="1"/>
        <v>1.1214953271028036</v>
      </c>
      <c r="M33" t="str" cm="1">
        <f t="array" aca="1" ref="M33" ca="1">INDEX($A$2:$A$101, RANDBETWEEN(1,100),0)</f>
        <v>B</v>
      </c>
      <c r="O33" t="str" cm="1">
        <f t="array" aca="1" ref="O33" ca="1">INDEX($B$2:$B$101, RANDBETWEEN(1,100),0)</f>
        <v>Frontier World</v>
      </c>
      <c r="P33" t="str" cm="1">
        <f t="array" aca="1" ref="P33" ca="1">INDEX($C$2:$C$21, RANDBETWEEN(1,20),0)</f>
        <v>Tainted</v>
      </c>
      <c r="Q33" t="str" cm="1">
        <f t="array" aca="1" ref="Q33" ca="1">INDEX($D$2:$D$21, RANDBETWEEN(1,20),0)</f>
        <v>Temperate</v>
      </c>
      <c r="R33" t="str" cm="1">
        <f t="array" aca="1" ref="R33" ca="1">INDEX($E$2:$E$21, RANDBETWEEN(1,20),0)</f>
        <v>Poisoned</v>
      </c>
      <c r="S33" t="str" cm="1">
        <f t="array" aca="1" ref="S33" ca="1">INDEX($F$2:$F$21, RANDBETWEEN(1,20),0)</f>
        <v>Extremely Dense</v>
      </c>
      <c r="T33" t="str" cm="1">
        <f t="array" aca="1" ref="T33" ca="1">INDEX($G$2:$G$21, RANDBETWEEN(1,20),0)</f>
        <v>Standard</v>
      </c>
      <c r="U33" t="str" cm="1">
        <f t="array" aca="1" ref="U33" ca="1">INDEX($H$2:$H$31, RANDBETWEEN(1,30),0)</f>
        <v>Hereteks</v>
      </c>
      <c r="V33" t="str" cm="1">
        <f t="array" aca="1" ref="V33" ca="1">INDEX($I$2:$I$101, RANDBETWEEN(1,100),0)</f>
        <v>Altered Humans</v>
      </c>
      <c r="W33" t="str" cm="1">
        <f t="array" aca="1" ref="W33" ca="1">INDEX($I$2:$I$101, RANDBETWEEN(1,100),0)</f>
        <v>Flying Cities</v>
      </c>
      <c r="X33" t="str" cm="1">
        <f t="array" aca="1" ref="X33" ca="1">INDEX($I$2:$I$101, RANDBETWEEN(1,100),0)</f>
        <v>Popular Uprising</v>
      </c>
    </row>
    <row r="34" spans="1:24" x14ac:dyDescent="0.25">
      <c r="A34" t="s">
        <v>37</v>
      </c>
      <c r="B34" t="s">
        <v>17</v>
      </c>
      <c r="I34" t="s">
        <v>131</v>
      </c>
      <c r="J34" t="s">
        <v>48</v>
      </c>
      <c r="K34">
        <f t="shared" ref="K34:K37" ca="1" si="3">COUNTIF($Q$1:$Q$120,J34)</f>
        <v>27</v>
      </c>
      <c r="L34" s="2">
        <f t="shared" ca="1" si="1"/>
        <v>1.0526315789473684</v>
      </c>
      <c r="M34" t="str" cm="1">
        <f t="array" aca="1" ref="M34" ca="1">INDEX($A$2:$A$101, RANDBETWEEN(1,100),0)</f>
        <v>G</v>
      </c>
      <c r="O34" t="str" cm="1">
        <f t="array" aca="1" ref="O34" ca="1">INDEX($B$2:$B$101, RANDBETWEEN(1,100),0)</f>
        <v>Feudal World</v>
      </c>
      <c r="P34" t="str" cm="1">
        <f t="array" aca="1" ref="P34" ca="1">INDEX($C$2:$C$21, RANDBETWEEN(1,20),0)</f>
        <v>Thin</v>
      </c>
      <c r="Q34" t="str" cm="1">
        <f t="array" aca="1" ref="Q34" ca="1">INDEX($D$2:$D$21, RANDBETWEEN(1,20),0)</f>
        <v>Cold</v>
      </c>
      <c r="R34" t="str" cm="1">
        <f t="array" aca="1" ref="R34" ca="1">INDEX($E$2:$E$21, RANDBETWEEN(1,20),0)</f>
        <v>Xeno Hybrid</v>
      </c>
      <c r="S34" t="str" cm="1">
        <f t="array" aca="1" ref="S34" ca="1">INDEX($F$2:$F$21, RANDBETWEEN(1,20),0)</f>
        <v>Minimal</v>
      </c>
      <c r="T34" t="str" cm="1">
        <f t="array" aca="1" ref="T34" ca="1">INDEX($G$2:$G$21, RANDBETWEEN(1,20),0)</f>
        <v>Low</v>
      </c>
      <c r="U34" t="str" cm="1">
        <f t="array" aca="1" ref="U34" ca="1">INDEX($H$2:$H$31, RANDBETWEEN(1,30),0)</f>
        <v>Hereteks</v>
      </c>
      <c r="V34" t="str" cm="1">
        <f t="array" aca="1" ref="V34" ca="1">INDEX($I$2:$I$101, RANDBETWEEN(1,100),0)</f>
        <v>Gold Rush</v>
      </c>
      <c r="W34" t="str" cm="1">
        <f t="array" aca="1" ref="W34" ca="1">INDEX($I$2:$I$101, RANDBETWEEN(1,100),0)</f>
        <v>Powerful Criminals</v>
      </c>
      <c r="X34" t="str" cm="1">
        <f t="array" aca="1" ref="X34" ca="1">INDEX($I$2:$I$101, RANDBETWEEN(1,100),0)</f>
        <v>Archaeotech Ruins</v>
      </c>
    </row>
    <row r="35" spans="1:24" x14ac:dyDescent="0.25">
      <c r="A35" t="s">
        <v>37</v>
      </c>
      <c r="B35" t="s">
        <v>17</v>
      </c>
      <c r="I35" t="s">
        <v>103</v>
      </c>
      <c r="J35" t="s">
        <v>45</v>
      </c>
      <c r="K35">
        <f t="shared" ca="1" si="3"/>
        <v>48</v>
      </c>
      <c r="L35" s="2">
        <f t="shared" ca="1" si="1"/>
        <v>6.3157894736842106</v>
      </c>
      <c r="M35" t="str" cm="1">
        <f t="array" aca="1" ref="M35" ca="1">INDEX($A$2:$A$101, RANDBETWEEN(1,100),0)</f>
        <v>K</v>
      </c>
      <c r="O35" t="str" cm="1">
        <f t="array" aca="1" ref="O35" ca="1">INDEX($B$2:$B$101, RANDBETWEEN(1,100),0)</f>
        <v>Orbital</v>
      </c>
      <c r="P35" t="str" cm="1">
        <f t="array" aca="1" ref="P35" ca="1">INDEX($C$2:$C$21, RANDBETWEEN(1,20),0)</f>
        <v>Breathable</v>
      </c>
      <c r="Q35" t="str" cm="1">
        <f t="array" aca="1" ref="Q35" ca="1">INDEX($D$2:$D$21, RANDBETWEEN(1,20),0)</f>
        <v>Hot</v>
      </c>
      <c r="R35" t="str" cm="1">
        <f t="array" aca="1" ref="R35" ca="1">INDEX($E$2:$E$21, RANDBETWEEN(1,20),0)</f>
        <v>Poisoned</v>
      </c>
      <c r="S35" t="str" cm="1">
        <f t="array" aca="1" ref="S35" ca="1">INDEX($F$2:$F$21, RANDBETWEEN(1,20),0)</f>
        <v>Sole Settlement</v>
      </c>
      <c r="T35" t="str" cm="1">
        <f t="array" aca="1" ref="T35" ca="1">INDEX($G$2:$G$21, RANDBETWEEN(1,20),0)</f>
        <v>Standard</v>
      </c>
      <c r="U35" t="str" cm="1">
        <f t="array" aca="1" ref="U35" ca="1">INDEX($H$2:$H$31, RANDBETWEEN(1,30),0)</f>
        <v>Warlords</v>
      </c>
      <c r="V35" t="str" cm="1">
        <f t="array" aca="1" ref="V35" ca="1">INDEX($I$2:$I$101, RANDBETWEEN(1,100),0)</f>
        <v>Minimal Contact</v>
      </c>
      <c r="W35" t="str" cm="1">
        <f t="array" aca="1" ref="W35" ca="1">INDEX($I$2:$I$101, RANDBETWEEN(1,100),0)</f>
        <v>Forbidden Tech</v>
      </c>
      <c r="X35" t="str" cm="1">
        <f t="array" aca="1" ref="X35" ca="1">INDEX($I$2:$I$101, RANDBETWEEN(1,100),0)</f>
        <v>Pocket Empire</v>
      </c>
    </row>
    <row r="36" spans="1:24" x14ac:dyDescent="0.25">
      <c r="A36" t="s">
        <v>36</v>
      </c>
      <c r="B36" t="s">
        <v>17</v>
      </c>
      <c r="I36" t="s">
        <v>102</v>
      </c>
      <c r="J36" t="s">
        <v>47</v>
      </c>
      <c r="K36">
        <f t="shared" ca="1" si="3"/>
        <v>26</v>
      </c>
      <c r="L36" s="2">
        <f t="shared" ca="1" si="1"/>
        <v>1.3953488372093024</v>
      </c>
      <c r="M36" t="str" cm="1">
        <f t="array" aca="1" ref="M36" ca="1">INDEX($A$2:$A$101, RANDBETWEEN(1,100),0)</f>
        <v>A</v>
      </c>
      <c r="O36" t="str" cm="1">
        <f t="array" aca="1" ref="O36" ca="1">INDEX($B$2:$B$101, RANDBETWEEN(1,100),0)</f>
        <v>Orbital</v>
      </c>
      <c r="P36" t="str" cm="1">
        <f t="array" aca="1" ref="P36" ca="1">INDEX($C$2:$C$21, RANDBETWEEN(1,20),0)</f>
        <v>Breathable</v>
      </c>
      <c r="Q36" t="str" cm="1">
        <f t="array" aca="1" ref="Q36" ca="1">INDEX($D$2:$D$21, RANDBETWEEN(1,20),0)</f>
        <v>Cold</v>
      </c>
      <c r="R36" t="str" cm="1">
        <f t="array" aca="1" ref="R36" ca="1">INDEX($E$2:$E$21, RANDBETWEEN(1,20),0)</f>
        <v>Minimal</v>
      </c>
      <c r="S36" t="str" cm="1">
        <f t="array" aca="1" ref="S36" ca="1">INDEX($F$2:$F$21, RANDBETWEEN(1,20),0)</f>
        <v>Sole Settlement</v>
      </c>
      <c r="T36" t="str" cm="1">
        <f t="array" aca="1" ref="T36" ca="1">INDEX($G$2:$G$21, RANDBETWEEN(1,20),0)</f>
        <v>Primitive</v>
      </c>
      <c r="U36" t="str" cm="1">
        <f t="array" aca="1" ref="U36" ca="1">INDEX($H$2:$H$31, RANDBETWEEN(1,30),0)</f>
        <v>Magistrate Council</v>
      </c>
      <c r="V36" t="str" cm="1">
        <f t="array" aca="1" ref="V36" ca="1">INDEX($I$2:$I$101, RANDBETWEEN(1,100),0)</f>
        <v>Libertines</v>
      </c>
      <c r="W36" t="str" cm="1">
        <f t="array" aca="1" ref="W36" ca="1">INDEX($I$2:$I$101, RANDBETWEEN(1,100),0)</f>
        <v>Xenophiles</v>
      </c>
      <c r="X36" t="str" cm="1">
        <f t="array" aca="1" ref="X36" ca="1">INDEX($I$2:$I$101, RANDBETWEEN(1,100),0)</f>
        <v>Altered Humans</v>
      </c>
    </row>
    <row r="37" spans="1:24" x14ac:dyDescent="0.25">
      <c r="A37" t="s">
        <v>36</v>
      </c>
      <c r="B37" t="s">
        <v>17</v>
      </c>
      <c r="I37" t="s">
        <v>189</v>
      </c>
      <c r="J37" t="s">
        <v>46</v>
      </c>
      <c r="K37">
        <f t="shared" ca="1" si="3"/>
        <v>8</v>
      </c>
      <c r="L37" s="2">
        <f t="shared" ca="1" si="1"/>
        <v>1.2903225806451613</v>
      </c>
      <c r="M37" t="str" cm="1">
        <f t="array" aca="1" ref="M37" ca="1">INDEX($A$2:$A$101, RANDBETWEEN(1,100),0)</f>
        <v>B</v>
      </c>
      <c r="O37" t="str" cm="1">
        <f t="array" aca="1" ref="O37" ca="1">INDEX($B$2:$B$101, RANDBETWEEN(1,100),0)</f>
        <v>Hive World</v>
      </c>
      <c r="P37" t="str" cm="1">
        <f t="array" aca="1" ref="P37" ca="1">INDEX($C$2:$C$21, RANDBETWEEN(1,20),0)</f>
        <v>Tainted</v>
      </c>
      <c r="Q37" t="str" cm="1">
        <f t="array" aca="1" ref="Q37" ca="1">INDEX($D$2:$D$21, RANDBETWEEN(1,20),0)</f>
        <v>Hot</v>
      </c>
      <c r="R37" t="str" cm="1">
        <f t="array" aca="1" ref="R37" ca="1">INDEX($E$2:$E$21, RANDBETWEEN(1,20),0)</f>
        <v>Minimal</v>
      </c>
      <c r="S37" t="str" cm="1">
        <f t="array" aca="1" ref="S37" ca="1">INDEX($F$2:$F$21, RANDBETWEEN(1,20),0)</f>
        <v>Minimal</v>
      </c>
      <c r="T37" t="str" cm="1">
        <f t="array" aca="1" ref="T37" ca="1">INDEX($G$2:$G$21, RANDBETWEEN(1,20),0)</f>
        <v>Standard</v>
      </c>
      <c r="U37" t="str" cm="1">
        <f t="array" aca="1" ref="U37" ca="1">INDEX($H$2:$H$31, RANDBETWEEN(1,30),0)</f>
        <v>Traditional Oligarchy</v>
      </c>
      <c r="V37" t="str" cm="1">
        <f t="array" aca="1" ref="V37" ca="1">INDEX($I$2:$I$101, RANDBETWEEN(1,100),0)</f>
        <v>Deviant Religion</v>
      </c>
      <c r="W37" t="str" cm="1">
        <f t="array" aca="1" ref="W37" ca="1">INDEX($I$2:$I$101, RANDBETWEEN(1,100),0)</f>
        <v>Police State</v>
      </c>
      <c r="X37" t="str" cm="1">
        <f t="array" aca="1" ref="X37" ca="1">INDEX($I$2:$I$101, RANDBETWEEN(1,100),0)</f>
        <v>Frozen World</v>
      </c>
    </row>
    <row r="38" spans="1:24" x14ac:dyDescent="0.25">
      <c r="A38" t="s">
        <v>36</v>
      </c>
      <c r="B38" t="s">
        <v>18</v>
      </c>
      <c r="I38" t="s">
        <v>117</v>
      </c>
      <c r="L38" s="2">
        <f t="shared" ca="1" si="1"/>
        <v>2.5</v>
      </c>
      <c r="M38" t="str" cm="1">
        <f t="array" aca="1" ref="M38" ca="1">INDEX($A$2:$A$101, RANDBETWEEN(1,100),0)</f>
        <v>F</v>
      </c>
      <c r="O38" t="str" cm="1">
        <f t="array" aca="1" ref="O38" ca="1">INDEX($B$2:$B$101, RANDBETWEEN(1,100),0)</f>
        <v>Forge World</v>
      </c>
      <c r="P38" t="str" cm="1">
        <f t="array" aca="1" ref="P38" ca="1">INDEX($C$2:$C$21, RANDBETWEEN(1,20),0)</f>
        <v>Exotic</v>
      </c>
      <c r="Q38" t="str" cm="1">
        <f t="array" aca="1" ref="Q38" ca="1">INDEX($D$2:$D$21, RANDBETWEEN(1,20),0)</f>
        <v>Temperate</v>
      </c>
      <c r="R38" t="str" cm="1">
        <f t="array" aca="1" ref="R38" ca="1">INDEX($E$2:$E$21, RANDBETWEEN(1,20),0)</f>
        <v>Minimal</v>
      </c>
      <c r="S38" t="str" cm="1">
        <f t="array" aca="1" ref="S38" ca="1">INDEX($F$2:$F$21, RANDBETWEEN(1,20),0)</f>
        <v>Densely Populated</v>
      </c>
      <c r="T38" t="str" cm="1">
        <f t="array" aca="1" ref="T38" ca="1">INDEX($G$2:$G$21, RANDBETWEEN(1,20),0)</f>
        <v>High</v>
      </c>
      <c r="U38" t="str" cm="1">
        <f t="array" aca="1" ref="U38" ca="1">INDEX($H$2:$H$31, RANDBETWEEN(1,30),0)</f>
        <v>Hereteks</v>
      </c>
      <c r="V38" t="str" cm="1">
        <f t="array" aca="1" ref="V38" ca="1">INDEX($I$2:$I$101, RANDBETWEEN(1,100),0)</f>
        <v>Jungle World</v>
      </c>
      <c r="W38" t="str" cm="1">
        <f t="array" aca="1" ref="W38" ca="1">INDEX($I$2:$I$101, RANDBETWEEN(1,100),0)</f>
        <v>Powerful Nobles</v>
      </c>
      <c r="X38" t="str" cm="1">
        <f t="array" aca="1" ref="X38" ca="1">INDEX($I$2:$I$101, RANDBETWEEN(1,100),0)</f>
        <v>Ocean World</v>
      </c>
    </row>
    <row r="39" spans="1:24" x14ac:dyDescent="0.25">
      <c r="A39" t="s">
        <v>36</v>
      </c>
      <c r="B39" t="s">
        <v>18</v>
      </c>
      <c r="I39" t="s">
        <v>86</v>
      </c>
      <c r="J39" t="s">
        <v>49</v>
      </c>
      <c r="K39">
        <f ca="1">COUNTIF($R$1:$R$121,J39)</f>
        <v>17</v>
      </c>
      <c r="L39" s="2">
        <f t="shared" ca="1" si="1"/>
        <v>2.6086956521739131</v>
      </c>
      <c r="M39" t="str" cm="1">
        <f t="array" aca="1" ref="M39" ca="1">INDEX($A$2:$A$101, RANDBETWEEN(1,100),0)</f>
        <v>A</v>
      </c>
      <c r="O39" t="str" cm="1">
        <f t="array" aca="1" ref="O39" ca="1">INDEX($B$2:$B$101, RANDBETWEEN(1,100),0)</f>
        <v>Feral World</v>
      </c>
      <c r="P39" t="str" cm="1">
        <f t="array" aca="1" ref="P39" ca="1">INDEX($C$2:$C$21, RANDBETWEEN(1,20),0)</f>
        <v>Exotic</v>
      </c>
      <c r="Q39" t="str" cm="1">
        <f t="array" aca="1" ref="Q39" ca="1">INDEX($D$2:$D$21, RANDBETWEEN(1,20),0)</f>
        <v>Temperate</v>
      </c>
      <c r="R39" t="str" cm="1">
        <f t="array" aca="1" ref="R39" ca="1">INDEX($E$2:$E$21, RANDBETWEEN(1,20),0)</f>
        <v>Minimal</v>
      </c>
      <c r="S39" t="str" cm="1">
        <f t="array" aca="1" ref="S39" ca="1">INDEX($F$2:$F$21, RANDBETWEEN(1,20),0)</f>
        <v>Minimal</v>
      </c>
      <c r="T39" t="str" cm="1">
        <f t="array" aca="1" ref="T39" ca="1">INDEX($G$2:$G$21, RANDBETWEEN(1,20),0)</f>
        <v>Standard</v>
      </c>
      <c r="U39" t="str" cm="1">
        <f t="array" aca="1" ref="U39" ca="1">INDEX($H$2:$H$31, RANDBETWEEN(1,30),0)</f>
        <v>Shadowy Psyker Cabal</v>
      </c>
      <c r="V39" t="str" cm="1">
        <f t="array" aca="1" ref="V39" ca="1">INDEX($I$2:$I$101, RANDBETWEEN(1,100),0)</f>
        <v>Sectarians</v>
      </c>
      <c r="W39" t="str" cm="1">
        <f t="array" aca="1" ref="W39" ca="1">INDEX($I$2:$I$101, RANDBETWEEN(1,100),0)</f>
        <v>Seagoing Cities</v>
      </c>
      <c r="X39" t="str" cm="1">
        <f t="array" aca="1" ref="X39" ca="1">INDEX($I$2:$I$101, RANDBETWEEN(1,100),0)</f>
        <v>The Silent Trade</v>
      </c>
    </row>
    <row r="40" spans="1:24" x14ac:dyDescent="0.25">
      <c r="A40" t="s">
        <v>36</v>
      </c>
      <c r="B40" t="s">
        <v>18</v>
      </c>
      <c r="I40" t="s">
        <v>74</v>
      </c>
      <c r="J40" t="s">
        <v>148</v>
      </c>
      <c r="K40">
        <f t="shared" ref="K40:K44" ca="1" si="4">COUNTIF($R$1:$R$121,J40)</f>
        <v>34</v>
      </c>
      <c r="L40" s="2">
        <f t="shared" ca="1" si="1"/>
        <v>10</v>
      </c>
      <c r="M40" t="str" cm="1">
        <f t="array" aca="1" ref="M40" ca="1">INDEX($A$2:$A$101, RANDBETWEEN(1,100),0)</f>
        <v>M</v>
      </c>
      <c r="O40" t="str" cm="1">
        <f t="array" aca="1" ref="O40" ca="1">INDEX($B$2:$B$101, RANDBETWEEN(1,100),0)</f>
        <v>Shrine World</v>
      </c>
      <c r="P40" t="str" cm="1">
        <f t="array" aca="1" ref="P40" ca="1">INDEX($C$2:$C$21, RANDBETWEEN(1,20),0)</f>
        <v>Corrosive</v>
      </c>
      <c r="Q40" t="str" cm="1">
        <f t="array" aca="1" ref="Q40" ca="1">INDEX($D$2:$D$21, RANDBETWEEN(1,20),0)</f>
        <v>Cold</v>
      </c>
      <c r="R40" t="str" cm="1">
        <f t="array" aca="1" ref="R40" ca="1">INDEX($E$2:$E$21, RANDBETWEEN(1,20),0)</f>
        <v>Xeno Hybrid</v>
      </c>
      <c r="S40" t="str" cm="1">
        <f t="array" aca="1" ref="S40" ca="1">INDEX($F$2:$F$21, RANDBETWEEN(1,20),0)</f>
        <v>Minimal</v>
      </c>
      <c r="T40" t="str" cm="1">
        <f t="array" aca="1" ref="T40" ca="1">INDEX($G$2:$G$21, RANDBETWEEN(1,20),0)</f>
        <v>Low</v>
      </c>
      <c r="U40" t="str" cm="1">
        <f t="array" aca="1" ref="U40" ca="1">INDEX($H$2:$H$31, RANDBETWEEN(1,30),0)</f>
        <v>Corrupt Aristocrats</v>
      </c>
      <c r="V40" t="str" cm="1">
        <f t="array" aca="1" ref="V40" ca="1">INDEX($I$2:$I$101, RANDBETWEEN(1,100),0)</f>
        <v>Deviant Religion</v>
      </c>
      <c r="W40" t="str" cm="1">
        <f t="array" aca="1" ref="W40" ca="1">INDEX($I$2:$I$101, RANDBETWEEN(1,100),0)</f>
        <v>Altered Humans</v>
      </c>
      <c r="X40" t="str" cm="1">
        <f t="array" aca="1" ref="X40" ca="1">INDEX($I$2:$I$101, RANDBETWEEN(1,100),0)</f>
        <v>Trade Hub</v>
      </c>
    </row>
    <row r="41" spans="1:24" x14ac:dyDescent="0.25">
      <c r="A41" t="s">
        <v>36</v>
      </c>
      <c r="B41" t="s">
        <v>18</v>
      </c>
      <c r="I41" t="s">
        <v>94</v>
      </c>
      <c r="J41" t="s">
        <v>177</v>
      </c>
      <c r="K41">
        <f t="shared" ca="1" si="4"/>
        <v>18</v>
      </c>
      <c r="L41" s="2">
        <f t="shared" ca="1" si="1"/>
        <v>3.1578947368421053</v>
      </c>
      <c r="M41" t="str" cm="1">
        <f t="array" aca="1" ref="M41" ca="1">INDEX($A$2:$A$101, RANDBETWEEN(1,100),0)</f>
        <v>M</v>
      </c>
      <c r="O41" t="str" cm="1">
        <f t="array" aca="1" ref="O41" ca="1">INDEX($B$2:$B$101, RANDBETWEEN(1,100),0)</f>
        <v>Penal World</v>
      </c>
      <c r="P41" t="str" cm="1">
        <f t="array" aca="1" ref="P41" ca="1">INDEX($C$2:$C$21, RANDBETWEEN(1,20),0)</f>
        <v>Breathable</v>
      </c>
      <c r="Q41" t="str" cm="1">
        <f t="array" aca="1" ref="Q41" ca="1">INDEX($D$2:$D$21, RANDBETWEEN(1,20),0)</f>
        <v>Boiling</v>
      </c>
      <c r="R41" t="str" cm="1">
        <f t="array" aca="1" ref="R41" ca="1">INDEX($E$2:$E$21, RANDBETWEEN(1,20),0)</f>
        <v>Xeno Dominance</v>
      </c>
      <c r="S41" t="str" cm="1">
        <f t="array" aca="1" ref="S41" ca="1">INDEX($F$2:$F$21, RANDBETWEEN(1,20),0)</f>
        <v>Lightly Populated</v>
      </c>
      <c r="T41" t="str" cm="1">
        <f t="array" aca="1" ref="T41" ca="1">INDEX($G$2:$G$21, RANDBETWEEN(1,20),0)</f>
        <v>Low</v>
      </c>
      <c r="U41" t="str" cm="1">
        <f t="array" aca="1" ref="U41" ca="1">INDEX($H$2:$H$31, RANDBETWEEN(1,30),0)</f>
        <v>Warlords</v>
      </c>
      <c r="V41" t="str" cm="1">
        <f t="array" aca="1" ref="V41" ca="1">INDEX($I$2:$I$101, RANDBETWEEN(1,100),0)</f>
        <v>Recently Rediscovered</v>
      </c>
      <c r="W41" t="str" cm="1">
        <f t="array" aca="1" ref="W41" ca="1">INDEX($I$2:$I$101, RANDBETWEEN(1,100),0)</f>
        <v>Mutant Hordes</v>
      </c>
      <c r="X41" t="str" cm="1">
        <f t="array" aca="1" ref="X41" ca="1">INDEX($I$2:$I$101, RANDBETWEEN(1,100),0)</f>
        <v>Out of Contact</v>
      </c>
    </row>
    <row r="42" spans="1:24" x14ac:dyDescent="0.25">
      <c r="A42" t="s">
        <v>36</v>
      </c>
      <c r="B42" t="s">
        <v>18</v>
      </c>
      <c r="I42" t="s">
        <v>144</v>
      </c>
      <c r="J42" t="s">
        <v>176</v>
      </c>
      <c r="K42">
        <f t="shared" ca="1" si="4"/>
        <v>25</v>
      </c>
      <c r="L42" s="2">
        <f t="shared" ca="1" si="1"/>
        <v>4</v>
      </c>
      <c r="M42" t="str" cm="1">
        <f t="array" aca="1" ref="M42" ca="1">INDEX($A$2:$A$101, RANDBETWEEN(1,100),0)</f>
        <v>M</v>
      </c>
      <c r="O42" t="str" cm="1">
        <f t="array" aca="1" ref="O42" ca="1">INDEX($B$2:$B$101, RANDBETWEEN(1,100),0)</f>
        <v>Warp-Lost World</v>
      </c>
      <c r="P42" t="str" cm="1">
        <f t="array" aca="1" ref="P42" ca="1">INDEX($C$2:$C$21, RANDBETWEEN(1,20),0)</f>
        <v>Breathable</v>
      </c>
      <c r="Q42" t="str" cm="1">
        <f t="array" aca="1" ref="Q42" ca="1">INDEX($D$2:$D$21, RANDBETWEEN(1,20),0)</f>
        <v>Temperate</v>
      </c>
      <c r="R42" t="str" cm="1">
        <f t="array" aca="1" ref="R42" ca="1">INDEX($E$2:$E$21, RANDBETWEEN(1,20),0)</f>
        <v>Nonexistent</v>
      </c>
      <c r="S42" t="str" cm="1">
        <f t="array" aca="1" ref="S42" ca="1">INDEX($F$2:$F$21, RANDBETWEEN(1,20),0)</f>
        <v>Densely Populated</v>
      </c>
      <c r="T42" t="str" cm="1">
        <f t="array" aca="1" ref="T42" ca="1">INDEX($G$2:$G$21, RANDBETWEEN(1,20),0)</f>
        <v>High</v>
      </c>
      <c r="U42" t="str" cm="1">
        <f t="array" aca="1" ref="U42" ca="1">INDEX($H$2:$H$31, RANDBETWEEN(1,30),0)</f>
        <v>Loyalist Mass Movement</v>
      </c>
      <c r="V42" t="str" cm="1">
        <f t="array" aca="1" ref="V42" ca="1">INDEX($I$2:$I$101, RANDBETWEEN(1,100),0)</f>
        <v>Xenophobes</v>
      </c>
      <c r="W42" t="str" cm="1">
        <f t="array" aca="1" ref="W42" ca="1">INDEX($I$2:$I$101, RANDBETWEEN(1,100),0)</f>
        <v>Verdant Ecology</v>
      </c>
      <c r="X42" t="str" cm="1">
        <f t="array" aca="1" ref="X42" ca="1">INDEX($I$2:$I$101, RANDBETWEEN(1,100),0)</f>
        <v>Out of Contact</v>
      </c>
    </row>
    <row r="43" spans="1:24" x14ac:dyDescent="0.25">
      <c r="A43" t="s">
        <v>36</v>
      </c>
      <c r="B43" t="s">
        <v>19</v>
      </c>
      <c r="I43" t="s">
        <v>87</v>
      </c>
      <c r="J43" t="s">
        <v>55</v>
      </c>
      <c r="K43">
        <f t="shared" ca="1" si="4"/>
        <v>17</v>
      </c>
      <c r="L43" s="2">
        <f t="shared" ca="1" si="1"/>
        <v>1.1214953271028036</v>
      </c>
      <c r="M43" t="str" cm="1">
        <f t="array" aca="1" ref="M43" ca="1">INDEX($A$2:$A$101, RANDBETWEEN(1,100),0)</f>
        <v>K</v>
      </c>
      <c r="O43" t="str" cm="1">
        <f t="array" aca="1" ref="O43" ca="1">INDEX($B$2:$B$101, RANDBETWEEN(1,100),0)</f>
        <v>Feral World</v>
      </c>
      <c r="P43" t="str" cm="1">
        <f t="array" aca="1" ref="P43" ca="1">INDEX($C$2:$C$21, RANDBETWEEN(1,20),0)</f>
        <v>Breathable</v>
      </c>
      <c r="Q43" t="str" cm="1">
        <f t="array" aca="1" ref="Q43" ca="1">INDEX($D$2:$D$21, RANDBETWEEN(1,20),0)</f>
        <v>Freezing</v>
      </c>
      <c r="R43" t="str" cm="1">
        <f t="array" aca="1" ref="R43" ca="1">INDEX($E$2:$E$21, RANDBETWEEN(1,20),0)</f>
        <v>Thriving</v>
      </c>
      <c r="S43" t="str" cm="1">
        <f t="array" aca="1" ref="S43" ca="1">INDEX($F$2:$F$21, RANDBETWEEN(1,20),0)</f>
        <v>Densely Populated</v>
      </c>
      <c r="T43" t="str" cm="1">
        <f t="array" aca="1" ref="T43" ca="1">INDEX($G$2:$G$21, RANDBETWEEN(1,20),0)</f>
        <v>Primitive</v>
      </c>
      <c r="U43" t="str" cm="1">
        <f t="array" aca="1" ref="U43" ca="1">INDEX($H$2:$H$31, RANDBETWEEN(1,30),0)</f>
        <v>Ecclesiarchical Appointee</v>
      </c>
      <c r="V43" t="str" cm="1">
        <f t="array" aca="1" ref="V43" ca="1">INDEX($I$2:$I$101, RANDBETWEEN(1,100),0)</f>
        <v>Failed Paradise</v>
      </c>
      <c r="W43" t="str" cm="1">
        <f t="array" aca="1" ref="W43" ca="1">INDEX($I$2:$I$101, RANDBETWEEN(1,100),0)</f>
        <v>Tech-Priest Cult</v>
      </c>
      <c r="X43" t="str" cm="1">
        <f t="array" aca="1" ref="X43" ca="1">INDEX($I$2:$I$101, RANDBETWEEN(1,100),0)</f>
        <v>Celestial Phenomena</v>
      </c>
    </row>
    <row r="44" spans="1:24" x14ac:dyDescent="0.25">
      <c r="A44" t="s">
        <v>36</v>
      </c>
      <c r="B44" t="s">
        <v>19</v>
      </c>
      <c r="I44" t="s">
        <v>98</v>
      </c>
      <c r="J44" t="s">
        <v>178</v>
      </c>
      <c r="K44">
        <f t="shared" ca="1" si="4"/>
        <v>9</v>
      </c>
      <c r="L44" s="2">
        <f t="shared" ca="1" si="1"/>
        <v>1.2765957446808511</v>
      </c>
      <c r="M44" t="str" cm="1">
        <f t="array" aca="1" ref="M44" ca="1">INDEX($A$2:$A$101, RANDBETWEEN(1,100),0)</f>
        <v>F</v>
      </c>
      <c r="O44" t="str" cm="1">
        <f t="array" aca="1" ref="O44" ca="1">INDEX($B$2:$B$101, RANDBETWEEN(1,100),0)</f>
        <v>Death World</v>
      </c>
      <c r="P44" t="str" cm="1">
        <f t="array" aca="1" ref="P44" ca="1">INDEX($C$2:$C$21, RANDBETWEEN(1,20),0)</f>
        <v>Breathable</v>
      </c>
      <c r="Q44" t="str" cm="1">
        <f t="array" aca="1" ref="Q44" ca="1">INDEX($D$2:$D$21, RANDBETWEEN(1,20),0)</f>
        <v>Hot</v>
      </c>
      <c r="R44" t="str" cm="1">
        <f t="array" aca="1" ref="R44" ca="1">INDEX($E$2:$E$21, RANDBETWEEN(1,20),0)</f>
        <v>Xeno Dominance</v>
      </c>
      <c r="S44" t="str" cm="1">
        <f t="array" aca="1" ref="S44" ca="1">INDEX($F$2:$F$21, RANDBETWEEN(1,20),0)</f>
        <v>Sole Settlement</v>
      </c>
      <c r="T44" t="str" cm="1">
        <f t="array" aca="1" ref="T44" ca="1">INDEX($G$2:$G$21, RANDBETWEEN(1,20),0)</f>
        <v>Standard</v>
      </c>
      <c r="U44" t="str" cm="1">
        <f t="array" aca="1" ref="U44" ca="1">INDEX($H$2:$H$31, RANDBETWEEN(1,30),0)</f>
        <v>Chaos Cult</v>
      </c>
      <c r="V44" t="str" cm="1">
        <f t="array" aca="1" ref="V44" ca="1">INDEX($I$2:$I$101, RANDBETWEEN(1,100),0)</f>
        <v>Failed Paradise</v>
      </c>
      <c r="W44" t="str" cm="1">
        <f t="array" aca="1" ref="W44" ca="1">INDEX($I$2:$I$101, RANDBETWEEN(1,100),0)</f>
        <v>Missionaries</v>
      </c>
      <c r="X44" t="str" cm="1">
        <f t="array" aca="1" ref="X44" ca="1">INDEX($I$2:$I$101, RANDBETWEEN(1,100),0)</f>
        <v>Psyker Academy</v>
      </c>
    </row>
    <row r="45" spans="1:24" x14ac:dyDescent="0.25">
      <c r="A45" t="s">
        <v>36</v>
      </c>
      <c r="B45" t="s">
        <v>19</v>
      </c>
      <c r="I45" t="s">
        <v>97</v>
      </c>
      <c r="L45" s="2">
        <f t="shared" ca="1" si="1"/>
        <v>2.2641509433962264</v>
      </c>
      <c r="M45" t="str" cm="1">
        <f t="array" aca="1" ref="M45" ca="1">INDEX($A$2:$A$101, RANDBETWEEN(1,100),0)</f>
        <v>G</v>
      </c>
      <c r="O45" t="str" cm="1">
        <f t="array" aca="1" ref="O45" ca="1">INDEX($B$2:$B$101, RANDBETWEEN(1,100),0)</f>
        <v>Orbital</v>
      </c>
      <c r="P45" t="str" cm="1">
        <f t="array" aca="1" ref="P45" ca="1">INDEX($C$2:$C$21, RANDBETWEEN(1,20),0)</f>
        <v>Tainted</v>
      </c>
      <c r="Q45" t="str" cm="1">
        <f t="array" aca="1" ref="Q45" ca="1">INDEX($D$2:$D$21, RANDBETWEEN(1,20),0)</f>
        <v>Hot</v>
      </c>
      <c r="R45" t="str" cm="1">
        <f t="array" aca="1" ref="R45" ca="1">INDEX($E$2:$E$21, RANDBETWEEN(1,20),0)</f>
        <v>Poisoned</v>
      </c>
      <c r="S45" t="str" cm="1">
        <f t="array" aca="1" ref="S45" ca="1">INDEX($F$2:$F$21, RANDBETWEEN(1,20),0)</f>
        <v>Extremely Dense</v>
      </c>
      <c r="T45" t="str" cm="1">
        <f t="array" aca="1" ref="T45" ca="1">INDEX($G$2:$G$21, RANDBETWEEN(1,20),0)</f>
        <v>Archaeotech</v>
      </c>
      <c r="U45" t="str" cm="1">
        <f t="array" aca="1" ref="U45" ca="1">INDEX($H$2:$H$31, RANDBETWEEN(1,30),0)</f>
        <v>Demagogue</v>
      </c>
      <c r="V45" t="str" cm="1">
        <f t="array" aca="1" ref="V45" ca="1">INDEX($I$2:$I$101, RANDBETWEEN(1,100),0)</f>
        <v>Freak Weather</v>
      </c>
      <c r="W45" t="str" cm="1">
        <f t="array" aca="1" ref="W45" ca="1">INDEX($I$2:$I$101, RANDBETWEEN(1,100),0)</f>
        <v>Crumbling Arcologies</v>
      </c>
      <c r="X45" t="str" cm="1">
        <f t="array" aca="1" ref="X45" ca="1">INDEX($I$2:$I$101, RANDBETWEEN(1,100),0)</f>
        <v>Important Shrine</v>
      </c>
    </row>
    <row r="46" spans="1:24" x14ac:dyDescent="0.25">
      <c r="A46" t="s">
        <v>36</v>
      </c>
      <c r="B46" t="s">
        <v>19</v>
      </c>
      <c r="I46" t="s">
        <v>66</v>
      </c>
      <c r="J46" t="s">
        <v>166</v>
      </c>
      <c r="K46">
        <f ca="1">COUNTIF($S$1:$S$121,J46)</f>
        <v>9</v>
      </c>
      <c r="L46" s="2">
        <f t="shared" ca="1" si="1"/>
        <v>2.6086956521739131</v>
      </c>
      <c r="M46" t="str" cm="1">
        <f t="array" aca="1" ref="M46" ca="1">INDEX($A$2:$A$101, RANDBETWEEN(1,100),0)</f>
        <v>G</v>
      </c>
      <c r="O46" t="str" cm="1">
        <f t="array" aca="1" ref="O46" ca="1">INDEX($B$2:$B$101, RANDBETWEEN(1,100),0)</f>
        <v>Penal World</v>
      </c>
      <c r="P46" t="str" cm="1">
        <f t="array" aca="1" ref="P46" ca="1">INDEX($C$2:$C$21, RANDBETWEEN(1,20),0)</f>
        <v>Breathable</v>
      </c>
      <c r="Q46" t="str" cm="1">
        <f t="array" aca="1" ref="Q46" ca="1">INDEX($D$2:$D$21, RANDBETWEEN(1,20),0)</f>
        <v>Temperate</v>
      </c>
      <c r="R46" t="str" cm="1">
        <f t="array" aca="1" ref="R46" ca="1">INDEX($E$2:$E$21, RANDBETWEEN(1,20),0)</f>
        <v>Xeno Hybrid</v>
      </c>
      <c r="S46" t="str" cm="1">
        <f t="array" aca="1" ref="S46" ca="1">INDEX($F$2:$F$21, RANDBETWEEN(1,20),0)</f>
        <v>Densely Populated</v>
      </c>
      <c r="T46" t="str" cm="1">
        <f t="array" aca="1" ref="T46" ca="1">INDEX($G$2:$G$21, RANDBETWEEN(1,20),0)</f>
        <v>Xeno Hybrid</v>
      </c>
      <c r="U46" t="str" cm="1">
        <f t="array" aca="1" ref="U46" ca="1">INDEX($H$2:$H$31, RANDBETWEEN(1,30),0)</f>
        <v>Revolutionary Junta</v>
      </c>
      <c r="V46" t="str" cm="1">
        <f t="array" aca="1" ref="V46" ca="1">INDEX($I$2:$I$101, RANDBETWEEN(1,100),0)</f>
        <v>Freak Geology</v>
      </c>
      <c r="W46" t="str" cm="1">
        <f t="array" aca="1" ref="W46" ca="1">INDEX($I$2:$I$101, RANDBETWEEN(1,100),0)</f>
        <v>Impending Doom</v>
      </c>
      <c r="X46" t="str" cm="1">
        <f t="array" aca="1" ref="X46" ca="1">INDEX($I$2:$I$101, RANDBETWEEN(1,100),0)</f>
        <v>Hostile Biosphere</v>
      </c>
    </row>
    <row r="47" spans="1:24" x14ac:dyDescent="0.25">
      <c r="A47" t="s">
        <v>36</v>
      </c>
      <c r="B47" t="s">
        <v>23</v>
      </c>
      <c r="I47" t="s">
        <v>190</v>
      </c>
      <c r="J47" t="s">
        <v>148</v>
      </c>
      <c r="K47">
        <f t="shared" ref="K47:K51" ca="1" si="5">COUNTIF($S$1:$S$121,J47)</f>
        <v>12</v>
      </c>
      <c r="L47" s="2">
        <f t="shared" ca="1" si="1"/>
        <v>1.25</v>
      </c>
      <c r="M47" t="str" cm="1">
        <f t="array" aca="1" ref="M47" ca="1">INDEX($A$2:$A$101, RANDBETWEEN(1,100),0)</f>
        <v>M</v>
      </c>
      <c r="O47" t="str" cm="1">
        <f t="array" aca="1" ref="O47" ca="1">INDEX($B$2:$B$101, RANDBETWEEN(1,100),0)</f>
        <v>Bastion World</v>
      </c>
      <c r="P47" t="str" cm="1">
        <f t="array" aca="1" ref="P47" ca="1">INDEX($C$2:$C$21, RANDBETWEEN(1,20),0)</f>
        <v>Thin</v>
      </c>
      <c r="Q47" t="str" cm="1">
        <f t="array" aca="1" ref="Q47" ca="1">INDEX($D$2:$D$21, RANDBETWEEN(1,20),0)</f>
        <v>Cold</v>
      </c>
      <c r="R47" t="str" cm="1">
        <f t="array" aca="1" ref="R47" ca="1">INDEX($E$2:$E$21, RANDBETWEEN(1,20),0)</f>
        <v>Thriving</v>
      </c>
      <c r="S47" t="str" cm="1">
        <f t="array" aca="1" ref="S47" ca="1">INDEX($F$2:$F$21, RANDBETWEEN(1,20),0)</f>
        <v>Sole Settlement</v>
      </c>
      <c r="T47" t="str" cm="1">
        <f t="array" aca="1" ref="T47" ca="1">INDEX($G$2:$G$21, RANDBETWEEN(1,20),0)</f>
        <v>Standard</v>
      </c>
      <c r="U47" t="str" cm="1">
        <f t="array" aca="1" ref="U47" ca="1">INDEX($H$2:$H$31, RANDBETWEEN(1,30),0)</f>
        <v>Elitist Tyrant</v>
      </c>
      <c r="V47" t="str" cm="1">
        <f t="array" aca="1" ref="V47" ca="1">INDEX($I$2:$I$101, RANDBETWEEN(1,100),0)</f>
        <v>Xenophobes</v>
      </c>
      <c r="W47" t="str" cm="1">
        <f t="array" aca="1" ref="W47" ca="1">INDEX($I$2:$I$101, RANDBETWEEN(1,100),0)</f>
        <v>Archaeotech Ruins</v>
      </c>
      <c r="X47" t="str" cm="1">
        <f t="array" aca="1" ref="X47" ca="1">INDEX($I$2:$I$101, RANDBETWEEN(1,100),0)</f>
        <v>Xeno Ruins</v>
      </c>
    </row>
    <row r="48" spans="1:24" x14ac:dyDescent="0.25">
      <c r="A48" t="s">
        <v>36</v>
      </c>
      <c r="B48" t="s">
        <v>23</v>
      </c>
      <c r="I48" t="s">
        <v>120</v>
      </c>
      <c r="J48" t="s">
        <v>167</v>
      </c>
      <c r="K48">
        <f t="shared" ca="1" si="5"/>
        <v>19</v>
      </c>
      <c r="L48" s="2">
        <f t="shared" ca="1" si="1"/>
        <v>3.1578947368421053</v>
      </c>
      <c r="M48" t="str" cm="1">
        <f t="array" aca="1" ref="M48" ca="1">INDEX($A$2:$A$101, RANDBETWEEN(1,100),0)</f>
        <v>F</v>
      </c>
      <c r="O48" t="str" cm="1">
        <f t="array" aca="1" ref="O48" ca="1">INDEX($B$2:$B$101, RANDBETWEEN(1,100),0)</f>
        <v>Frontier World</v>
      </c>
      <c r="P48" t="str" cm="1">
        <f t="array" aca="1" ref="P48" ca="1">INDEX($C$2:$C$21, RANDBETWEEN(1,20),0)</f>
        <v>Airless</v>
      </c>
      <c r="Q48" t="str" cm="1">
        <f t="array" aca="1" ref="Q48" ca="1">INDEX($D$2:$D$21, RANDBETWEEN(1,20),0)</f>
        <v>Hot</v>
      </c>
      <c r="R48" t="str" cm="1">
        <f t="array" aca="1" ref="R48" ca="1">INDEX($E$2:$E$21, RANDBETWEEN(1,20),0)</f>
        <v>Minimal</v>
      </c>
      <c r="S48" t="str" cm="1">
        <f t="array" aca="1" ref="S48" ca="1">INDEX($F$2:$F$21, RANDBETWEEN(1,20),0)</f>
        <v>Densely Populated</v>
      </c>
      <c r="T48" t="str" cm="1">
        <f t="array" aca="1" ref="T48" ca="1">INDEX($G$2:$G$21, RANDBETWEEN(1,20),0)</f>
        <v>Archaeotech</v>
      </c>
      <c r="U48" t="str" cm="1">
        <f t="array" aca="1" ref="U48" ca="1">INDEX($H$2:$H$31, RANDBETWEEN(1,30),0)</f>
        <v>Hereteks</v>
      </c>
      <c r="V48" t="str" cm="1">
        <f t="array" aca="1" ref="V48" ca="1">INDEX($I$2:$I$101, RANDBETWEEN(1,100),0)</f>
        <v>Unmapped Wastes</v>
      </c>
      <c r="W48" t="str" cm="1">
        <f t="array" aca="1" ref="W48" ca="1">INDEX($I$2:$I$101, RANDBETWEEN(1,100),0)</f>
        <v>Freeport</v>
      </c>
      <c r="X48" t="str" cm="1">
        <f t="array" aca="1" ref="X48" ca="1">INDEX($I$2:$I$101, RANDBETWEEN(1,100),0)</f>
        <v>Mass Panic</v>
      </c>
    </row>
    <row r="49" spans="1:24" x14ac:dyDescent="0.25">
      <c r="A49" t="s">
        <v>36</v>
      </c>
      <c r="B49" t="s">
        <v>23</v>
      </c>
      <c r="I49" t="s">
        <v>152</v>
      </c>
      <c r="J49" t="s">
        <v>168</v>
      </c>
      <c r="K49">
        <f t="shared" ca="1" si="5"/>
        <v>18</v>
      </c>
      <c r="L49" s="2">
        <f t="shared" ca="1" si="1"/>
        <v>2.2222222222222223</v>
      </c>
      <c r="M49" t="str" cm="1">
        <f t="array" aca="1" ref="M49" ca="1">INDEX($A$2:$A$101, RANDBETWEEN(1,100),0)</f>
        <v>M</v>
      </c>
      <c r="O49" t="str" cm="1">
        <f t="array" aca="1" ref="O49" ca="1">INDEX($B$2:$B$101, RANDBETWEEN(1,100),0)</f>
        <v>Feudal World</v>
      </c>
      <c r="P49" t="str" cm="1">
        <f t="array" aca="1" ref="P49" ca="1">INDEX($C$2:$C$21, RANDBETWEEN(1,20),0)</f>
        <v>Breathable</v>
      </c>
      <c r="Q49" t="str" cm="1">
        <f t="array" aca="1" ref="Q49" ca="1">INDEX($D$2:$D$21, RANDBETWEEN(1,20),0)</f>
        <v>Temperate</v>
      </c>
      <c r="R49" t="str" cm="1">
        <f t="array" aca="1" ref="R49" ca="1">INDEX($E$2:$E$21, RANDBETWEEN(1,20),0)</f>
        <v>Minimal</v>
      </c>
      <c r="S49" t="str" cm="1">
        <f t="array" aca="1" ref="S49" ca="1">INDEX($F$2:$F$21, RANDBETWEEN(1,20),0)</f>
        <v>Sole Settlement</v>
      </c>
      <c r="T49" t="str" cm="1">
        <f t="array" aca="1" ref="T49" ca="1">INDEX($G$2:$G$21, RANDBETWEEN(1,20),0)</f>
        <v>Standard</v>
      </c>
      <c r="U49" t="str" cm="1">
        <f t="array" aca="1" ref="U49" ca="1">INDEX($H$2:$H$31, RANDBETWEEN(1,30),0)</f>
        <v>Traditional Oligarchy</v>
      </c>
      <c r="V49" t="str" cm="1">
        <f t="array" aca="1" ref="V49" ca="1">INDEX($I$2:$I$101, RANDBETWEEN(1,100),0)</f>
        <v>Imperial Knights</v>
      </c>
      <c r="W49" t="str" cm="1">
        <f t="array" aca="1" ref="W49" ca="1">INDEX($I$2:$I$101, RANDBETWEEN(1,100),0)</f>
        <v>Seismic Instability</v>
      </c>
      <c r="X49" t="str" cm="1">
        <f t="array" aca="1" ref="X49" ca="1">INDEX($I$2:$I$101, RANDBETWEEN(1,100),0)</f>
        <v>Inquisition Outpost</v>
      </c>
    </row>
    <row r="50" spans="1:24" x14ac:dyDescent="0.25">
      <c r="A50" t="s">
        <v>36</v>
      </c>
      <c r="B50" t="s">
        <v>23</v>
      </c>
      <c r="I50" t="s">
        <v>125</v>
      </c>
      <c r="J50" t="s">
        <v>169</v>
      </c>
      <c r="K50">
        <f t="shared" ca="1" si="5"/>
        <v>40</v>
      </c>
      <c r="L50" s="2">
        <f t="shared" ca="1" si="1"/>
        <v>2.3529411764705883</v>
      </c>
      <c r="M50" t="str" cm="1">
        <f t="array" aca="1" ref="M50" ca="1">INDEX($A$2:$A$101, RANDBETWEEN(1,100),0)</f>
        <v>K</v>
      </c>
      <c r="O50" t="str" cm="1">
        <f t="array" aca="1" ref="O50" ca="1">INDEX($B$2:$B$101, RANDBETWEEN(1,100),0)</f>
        <v>Industrial World</v>
      </c>
      <c r="P50" t="str" cm="1">
        <f t="array" aca="1" ref="P50" ca="1">INDEX($C$2:$C$21, RANDBETWEEN(1,20),0)</f>
        <v>Breathable</v>
      </c>
      <c r="Q50" t="str" cm="1">
        <f t="array" aca="1" ref="Q50" ca="1">INDEX($D$2:$D$21, RANDBETWEEN(1,20),0)</f>
        <v>Hot</v>
      </c>
      <c r="R50" t="str" cm="1">
        <f t="array" aca="1" ref="R50" ca="1">INDEX($E$2:$E$21, RANDBETWEEN(1,20),0)</f>
        <v>Nonexistent</v>
      </c>
      <c r="S50" t="str" cm="1">
        <f t="array" aca="1" ref="S50" ca="1">INDEX($F$2:$F$21, RANDBETWEEN(1,20),0)</f>
        <v>Extremely Dense</v>
      </c>
      <c r="T50" t="str" cm="1">
        <f t="array" aca="1" ref="T50" ca="1">INDEX($G$2:$G$21, RANDBETWEEN(1,20),0)</f>
        <v>Standard</v>
      </c>
      <c r="U50" t="str" cm="1">
        <f t="array" aca="1" ref="U50" ca="1">INDEX($H$2:$H$31, RANDBETWEEN(1,30),0)</f>
        <v>Rogue Trader Dynasty</v>
      </c>
      <c r="V50" t="str" cm="1">
        <f t="array" aca="1" ref="V50" ca="1">INDEX($I$2:$I$101, RANDBETWEEN(1,100),0)</f>
        <v>Space Hulks</v>
      </c>
      <c r="W50" t="str" cm="1">
        <f t="array" aca="1" ref="W50" ca="1">INDEX($I$2:$I$101, RANDBETWEEN(1,100),0)</f>
        <v>Naval Outpost</v>
      </c>
      <c r="X50" t="str" cm="1">
        <f t="array" aca="1" ref="X50" ca="1">INDEX($I$2:$I$101, RANDBETWEEN(1,100),0)</f>
        <v>Imperial Knights</v>
      </c>
    </row>
    <row r="51" spans="1:24" x14ac:dyDescent="0.25">
      <c r="A51" t="s">
        <v>36</v>
      </c>
      <c r="B51" t="s">
        <v>23</v>
      </c>
      <c r="I51" t="s">
        <v>118</v>
      </c>
      <c r="J51" t="s">
        <v>201</v>
      </c>
      <c r="K51">
        <f t="shared" ca="1" si="5"/>
        <v>22</v>
      </c>
      <c r="L51" s="2">
        <f t="shared" ca="1" si="1"/>
        <v>1.9047619047619047</v>
      </c>
      <c r="M51" t="str" cm="1">
        <f t="array" aca="1" ref="M51" ca="1">INDEX($A$2:$A$101, RANDBETWEEN(1,100),0)</f>
        <v>M</v>
      </c>
      <c r="O51" t="str" cm="1">
        <f t="array" aca="1" ref="O51" ca="1">INDEX($B$2:$B$101, RANDBETWEEN(1,100),0)</f>
        <v>Agri-World</v>
      </c>
      <c r="P51" t="str" cm="1">
        <f t="array" aca="1" ref="P51" ca="1">INDEX($C$2:$C$21, RANDBETWEEN(1,20),0)</f>
        <v>Tainted</v>
      </c>
      <c r="Q51" t="str" cm="1">
        <f t="array" aca="1" ref="Q51" ca="1">INDEX($D$2:$D$21, RANDBETWEEN(1,20),0)</f>
        <v>Temperate</v>
      </c>
      <c r="R51" t="str" cm="1">
        <f t="array" aca="1" ref="R51" ca="1">INDEX($E$2:$E$21, RANDBETWEEN(1,20),0)</f>
        <v>Xeno Hybrid</v>
      </c>
      <c r="S51" t="str" cm="1">
        <f t="array" aca="1" ref="S51" ca="1">INDEX($F$2:$F$21, RANDBETWEEN(1,20),0)</f>
        <v>Densely Populated</v>
      </c>
      <c r="T51" t="str" cm="1">
        <f t="array" aca="1" ref="T51" ca="1">INDEX($G$2:$G$21, RANDBETWEEN(1,20),0)</f>
        <v>Standard</v>
      </c>
      <c r="U51" t="str" cm="1">
        <f t="array" aca="1" ref="U51" ca="1">INDEX($H$2:$H$31, RANDBETWEEN(1,30),0)</f>
        <v>Magistrate Council</v>
      </c>
      <c r="V51" t="str" cm="1">
        <f t="array" aca="1" ref="V51" ca="1">INDEX($I$2:$I$101, RANDBETWEEN(1,100),0)</f>
        <v>Quarantined</v>
      </c>
      <c r="W51" t="str" cm="1">
        <f t="array" aca="1" ref="W51" ca="1">INDEX($I$2:$I$101, RANDBETWEEN(1,100),0)</f>
        <v>Zombies</v>
      </c>
      <c r="X51" t="str" cm="1">
        <f t="array" aca="1" ref="X51" ca="1">INDEX($I$2:$I$101, RANDBETWEEN(1,100),0)</f>
        <v>Pilgrimage Site</v>
      </c>
    </row>
    <row r="52" spans="1:24" x14ac:dyDescent="0.25">
      <c r="A52" t="s">
        <v>36</v>
      </c>
      <c r="B52" t="s">
        <v>23</v>
      </c>
      <c r="I52" t="s">
        <v>112</v>
      </c>
      <c r="L52" s="2">
        <f t="shared" ca="1" si="1"/>
        <v>1.0526315789473684</v>
      </c>
      <c r="M52" t="str" cm="1">
        <f t="array" aca="1" ref="M52" ca="1">INDEX($A$2:$A$101, RANDBETWEEN(1,100),0)</f>
        <v>A</v>
      </c>
      <c r="O52" t="str" cm="1">
        <f t="array" aca="1" ref="O52" ca="1">INDEX($B$2:$B$101, RANDBETWEEN(1,100),0)</f>
        <v>Frontier World</v>
      </c>
      <c r="P52" t="str" cm="1">
        <f t="array" aca="1" ref="P52" ca="1">INDEX($C$2:$C$21, RANDBETWEEN(1,20),0)</f>
        <v>Airless</v>
      </c>
      <c r="Q52" t="str" cm="1">
        <f t="array" aca="1" ref="Q52" ca="1">INDEX($D$2:$D$21, RANDBETWEEN(1,20),0)</f>
        <v>Cold</v>
      </c>
      <c r="R52" t="str" cm="1">
        <f t="array" aca="1" ref="R52" ca="1">INDEX($E$2:$E$21, RANDBETWEEN(1,20),0)</f>
        <v>Xeno Dominance</v>
      </c>
      <c r="S52" t="str" cm="1">
        <f t="array" aca="1" ref="S52" ca="1">INDEX($F$2:$F$21, RANDBETWEEN(1,20),0)</f>
        <v>Extremely Dense</v>
      </c>
      <c r="T52" t="str" cm="1">
        <f t="array" aca="1" ref="T52" ca="1">INDEX($G$2:$G$21, RANDBETWEEN(1,20),0)</f>
        <v>Archaeotech</v>
      </c>
      <c r="U52" t="str" cm="1">
        <f t="array" aca="1" ref="U52" ca="1">INDEX($H$2:$H$31, RANDBETWEEN(1,30),0)</f>
        <v>Heretical Imperial Cult</v>
      </c>
      <c r="V52" t="str" cm="1">
        <f t="array" aca="1" ref="V52" ca="1">INDEX($I$2:$I$101, RANDBETWEEN(1,100),0)</f>
        <v>Navigator House</v>
      </c>
      <c r="W52" t="str" cm="1">
        <f t="array" aca="1" ref="W52" ca="1">INDEX($I$2:$I$101, RANDBETWEEN(1,100),0)</f>
        <v>Naval Blockade</v>
      </c>
      <c r="X52" t="str" cm="1">
        <f t="array" aca="1" ref="X52" ca="1">INDEX($I$2:$I$101, RANDBETWEEN(1,100),0)</f>
        <v>Minimal Contact</v>
      </c>
    </row>
    <row r="53" spans="1:24" x14ac:dyDescent="0.25">
      <c r="A53" t="s">
        <v>36</v>
      </c>
      <c r="B53" t="s">
        <v>23</v>
      </c>
      <c r="I53" t="s">
        <v>113</v>
      </c>
      <c r="J53" t="s">
        <v>51</v>
      </c>
      <c r="K53">
        <f ca="1">COUNTIF($T$1:$T$121,J53)</f>
        <v>10</v>
      </c>
      <c r="L53" s="2">
        <f t="shared" ca="1" si="1"/>
        <v>1.9047619047619047</v>
      </c>
      <c r="M53" t="str" cm="1">
        <f t="array" aca="1" ref="M53" ca="1">INDEX($A$2:$A$101, RANDBETWEEN(1,100),0)</f>
        <v>F</v>
      </c>
      <c r="O53" t="str" cm="1">
        <f t="array" aca="1" ref="O53" ca="1">INDEX($B$2:$B$101, RANDBETWEEN(1,100),0)</f>
        <v>Industrial World</v>
      </c>
      <c r="P53" t="str" cm="1">
        <f t="array" aca="1" ref="P53" ca="1">INDEX($C$2:$C$21, RANDBETWEEN(1,20),0)</f>
        <v>Exotic</v>
      </c>
      <c r="Q53" t="str" cm="1">
        <f t="array" aca="1" ref="Q53" ca="1">INDEX($D$2:$D$21, RANDBETWEEN(1,20),0)</f>
        <v>Temperate</v>
      </c>
      <c r="R53" t="str" cm="1">
        <f t="array" aca="1" ref="R53" ca="1">INDEX($E$2:$E$21, RANDBETWEEN(1,20),0)</f>
        <v>Poisoned</v>
      </c>
      <c r="S53" t="str" cm="1">
        <f t="array" aca="1" ref="S53" ca="1">INDEX($F$2:$F$21, RANDBETWEEN(1,20),0)</f>
        <v>Densely Populated</v>
      </c>
      <c r="T53" t="str" cm="1">
        <f t="array" aca="1" ref="T53" ca="1">INDEX($G$2:$G$21, RANDBETWEEN(1,20),0)</f>
        <v>High</v>
      </c>
      <c r="U53" t="str" cm="1">
        <f t="array" aca="1" ref="U53" ca="1">INDEX($H$2:$H$31, RANDBETWEEN(1,30),0)</f>
        <v>Shadowy Psyker Cabal</v>
      </c>
      <c r="V53" t="str" cm="1">
        <f t="array" aca="1" ref="V53" ca="1">INDEX($I$2:$I$101, RANDBETWEEN(1,100),0)</f>
        <v>Mutant Hordes</v>
      </c>
      <c r="W53" t="str" cm="1">
        <f t="array" aca="1" ref="W53" ca="1">INDEX($I$2:$I$101, RANDBETWEEN(1,100),0)</f>
        <v>Trade Hub</v>
      </c>
      <c r="X53" t="str" cm="1">
        <f t="array" aca="1" ref="X53" ca="1">INDEX($I$2:$I$101, RANDBETWEEN(1,100),0)</f>
        <v>Xenophobes</v>
      </c>
    </row>
    <row r="54" spans="1:24" x14ac:dyDescent="0.25">
      <c r="A54" t="s">
        <v>36</v>
      </c>
      <c r="B54" t="s">
        <v>23</v>
      </c>
      <c r="I54" t="s">
        <v>135</v>
      </c>
      <c r="J54" t="s">
        <v>52</v>
      </c>
      <c r="K54">
        <f t="shared" ref="K54:K58" ca="1" si="6">COUNTIF($T$1:$T$121,J54)</f>
        <v>32</v>
      </c>
      <c r="L54" s="2">
        <f t="shared" ca="1" si="1"/>
        <v>2.8571428571428572</v>
      </c>
      <c r="M54" t="str" cm="1">
        <f t="array" aca="1" ref="M54" ca="1">INDEX($A$2:$A$101, RANDBETWEEN(1,100),0)</f>
        <v>K</v>
      </c>
      <c r="O54" t="str" cm="1">
        <f t="array" aca="1" ref="O54" ca="1">INDEX($B$2:$B$101, RANDBETWEEN(1,100),0)</f>
        <v>Feudal World</v>
      </c>
      <c r="P54" t="str" cm="1">
        <f t="array" aca="1" ref="P54" ca="1">INDEX($C$2:$C$21, RANDBETWEEN(1,20),0)</f>
        <v>Exotic</v>
      </c>
      <c r="Q54" t="str" cm="1">
        <f t="array" aca="1" ref="Q54" ca="1">INDEX($D$2:$D$21, RANDBETWEEN(1,20),0)</f>
        <v>Boiling</v>
      </c>
      <c r="R54" t="str" cm="1">
        <f t="array" aca="1" ref="R54" ca="1">INDEX($E$2:$E$21, RANDBETWEEN(1,20),0)</f>
        <v>Xeno Hybrid</v>
      </c>
      <c r="S54" t="str" cm="1">
        <f t="array" aca="1" ref="S54" ca="1">INDEX($F$2:$F$21, RANDBETWEEN(1,20),0)</f>
        <v>Lightly Populated</v>
      </c>
      <c r="T54" t="str" cm="1">
        <f t="array" aca="1" ref="T54" ca="1">INDEX($G$2:$G$21, RANDBETWEEN(1,20),0)</f>
        <v>Low</v>
      </c>
      <c r="U54" t="str" cm="1">
        <f t="array" aca="1" ref="U54" ca="1">INDEX($H$2:$H$31, RANDBETWEEN(1,30),0)</f>
        <v>Traditionalist Aristocracy</v>
      </c>
      <c r="V54" t="str" cm="1">
        <f t="array" aca="1" ref="V54" ca="1">INDEX($I$2:$I$101, RANDBETWEEN(1,100),0)</f>
        <v>Holy War</v>
      </c>
      <c r="W54" t="str" cm="1">
        <f t="array" aca="1" ref="W54" ca="1">INDEX($I$2:$I$101, RANDBETWEEN(1,100),0)</f>
        <v>Minimal Contact</v>
      </c>
      <c r="X54" t="str" cm="1">
        <f t="array" aca="1" ref="X54" ca="1">INDEX($I$2:$I$101, RANDBETWEEN(1,100),0)</f>
        <v>Holy War</v>
      </c>
    </row>
    <row r="55" spans="1:24" x14ac:dyDescent="0.25">
      <c r="A55" t="s">
        <v>36</v>
      </c>
      <c r="B55" t="s">
        <v>23</v>
      </c>
      <c r="I55" t="s">
        <v>127</v>
      </c>
      <c r="J55" t="s">
        <v>53</v>
      </c>
      <c r="K55">
        <f t="shared" ca="1" si="6"/>
        <v>35</v>
      </c>
      <c r="L55" s="2">
        <f t="shared" ca="1" si="1"/>
        <v>1.2244897959183674</v>
      </c>
      <c r="M55" t="str" cm="1">
        <f t="array" aca="1" ref="M55" ca="1">INDEX($A$2:$A$101, RANDBETWEEN(1,100),0)</f>
        <v>G</v>
      </c>
      <c r="O55" t="str" cm="1">
        <f t="array" aca="1" ref="O55" ca="1">INDEX($B$2:$B$101, RANDBETWEEN(1,100),0)</f>
        <v>Orbital</v>
      </c>
      <c r="P55" t="str" cm="1">
        <f t="array" aca="1" ref="P55" ca="1">INDEX($C$2:$C$21, RANDBETWEEN(1,20),0)</f>
        <v>Tainted</v>
      </c>
      <c r="Q55" t="str" cm="1">
        <f t="array" aca="1" ref="Q55" ca="1">INDEX($D$2:$D$21, RANDBETWEEN(1,20),0)</f>
        <v>Temperate</v>
      </c>
      <c r="R55" t="str" cm="1">
        <f t="array" aca="1" ref="R55" ca="1">INDEX($E$2:$E$21, RANDBETWEEN(1,20),0)</f>
        <v>Nonexistent</v>
      </c>
      <c r="S55" t="str" cm="1">
        <f t="array" aca="1" ref="S55" ca="1">INDEX($F$2:$F$21, RANDBETWEEN(1,20),0)</f>
        <v>Densely Populated</v>
      </c>
      <c r="T55" t="str" cm="1">
        <f t="array" aca="1" ref="T55" ca="1">INDEX($G$2:$G$21, RANDBETWEEN(1,20),0)</f>
        <v>Primitive</v>
      </c>
      <c r="U55" t="str" cm="1">
        <f t="array" aca="1" ref="U55" ca="1">INDEX($H$2:$H$31, RANDBETWEEN(1,30),0)</f>
        <v>Hereteks</v>
      </c>
      <c r="V55" t="str" cm="1">
        <f t="array" aca="1" ref="V55" ca="1">INDEX($I$2:$I$101, RANDBETWEEN(1,100),0)</f>
        <v>Cold War</v>
      </c>
      <c r="W55" t="str" cm="1">
        <f t="array" aca="1" ref="W55" ca="1">INDEX($I$2:$I$101, RANDBETWEEN(1,100),0)</f>
        <v>Trade Hub</v>
      </c>
      <c r="X55" t="str" cm="1">
        <f t="array" aca="1" ref="X55" ca="1">INDEX($I$2:$I$101, RANDBETWEEN(1,100),0)</f>
        <v>Freak Weather</v>
      </c>
    </row>
    <row r="56" spans="1:24" x14ac:dyDescent="0.25">
      <c r="A56" t="s">
        <v>35</v>
      </c>
      <c r="B56" t="s">
        <v>23</v>
      </c>
      <c r="I56" t="s">
        <v>30</v>
      </c>
      <c r="J56" t="s">
        <v>54</v>
      </c>
      <c r="K56">
        <f t="shared" ca="1" si="6"/>
        <v>26</v>
      </c>
      <c r="L56" s="2">
        <f t="shared" ca="1" si="1"/>
        <v>1.6216216216216217</v>
      </c>
      <c r="M56" t="str" cm="1">
        <f t="array" aca="1" ref="M56" ca="1">INDEX($A$2:$A$101, RANDBETWEEN(1,100),0)</f>
        <v>F</v>
      </c>
      <c r="O56" t="str" cm="1">
        <f t="array" aca="1" ref="O56" ca="1">INDEX($B$2:$B$101, RANDBETWEEN(1,100),0)</f>
        <v>Extractive Colony</v>
      </c>
      <c r="P56" t="str" cm="1">
        <f t="array" aca="1" ref="P56" ca="1">INDEX($C$2:$C$21, RANDBETWEEN(1,20),0)</f>
        <v>Tainted</v>
      </c>
      <c r="Q56" t="str" cm="1">
        <f t="array" aca="1" ref="Q56" ca="1">INDEX($D$2:$D$21, RANDBETWEEN(1,20),0)</f>
        <v>Boiling</v>
      </c>
      <c r="R56" t="str" cm="1">
        <f t="array" aca="1" ref="R56" ca="1">INDEX($E$2:$E$21, RANDBETWEEN(1,20),0)</f>
        <v>Thriving</v>
      </c>
      <c r="S56" t="str" cm="1">
        <f t="array" aca="1" ref="S56" ca="1">INDEX($F$2:$F$21, RANDBETWEEN(1,20),0)</f>
        <v>Lightly Populated</v>
      </c>
      <c r="T56" t="str" cm="1">
        <f t="array" aca="1" ref="T56" ca="1">INDEX($G$2:$G$21, RANDBETWEEN(1,20),0)</f>
        <v>High</v>
      </c>
      <c r="U56" t="str" cm="1">
        <f t="array" aca="1" ref="U56" ca="1">INDEX($H$2:$H$31, RANDBETWEEN(1,30),0)</f>
        <v>Ecclesiarchical Appointee</v>
      </c>
      <c r="V56" t="str" cm="1">
        <f t="array" aca="1" ref="V56" ca="1">INDEX($I$2:$I$101, RANDBETWEEN(1,100),0)</f>
        <v>Friendly Xenos</v>
      </c>
      <c r="W56" t="str" cm="1">
        <f t="array" aca="1" ref="W56" ca="1">INDEX($I$2:$I$101, RANDBETWEEN(1,100),0)</f>
        <v>Unmapped Wastes</v>
      </c>
      <c r="X56" t="str" cm="1">
        <f t="array" aca="1" ref="X56" ca="1">INDEX($I$2:$I$101, RANDBETWEEN(1,100),0)</f>
        <v>Out of Contact</v>
      </c>
    </row>
    <row r="57" spans="1:24" x14ac:dyDescent="0.25">
      <c r="A57" t="s">
        <v>35</v>
      </c>
      <c r="B57" t="s">
        <v>20</v>
      </c>
      <c r="I57" t="s">
        <v>75</v>
      </c>
      <c r="J57" t="s">
        <v>55</v>
      </c>
      <c r="K57">
        <f t="shared" ca="1" si="6"/>
        <v>10</v>
      </c>
      <c r="L57" s="2">
        <f t="shared" ca="1" si="1"/>
        <v>1.0256410256410255</v>
      </c>
      <c r="M57" t="str" cm="1">
        <f t="array" aca="1" ref="M57" ca="1">INDEX($A$2:$A$101, RANDBETWEEN(1,100),0)</f>
        <v>F</v>
      </c>
      <c r="O57" t="str" cm="1">
        <f t="array" aca="1" ref="O57" ca="1">INDEX($B$2:$B$101, RANDBETWEEN(1,100),0)</f>
        <v>Shrine World</v>
      </c>
      <c r="P57" t="str" cm="1">
        <f t="array" aca="1" ref="P57" ca="1">INDEX($C$2:$C$21, RANDBETWEEN(1,20),0)</f>
        <v>Breathable</v>
      </c>
      <c r="Q57" t="str" cm="1">
        <f t="array" aca="1" ref="Q57" ca="1">INDEX($D$2:$D$21, RANDBETWEEN(1,20),0)</f>
        <v>Temperate</v>
      </c>
      <c r="R57" t="str" cm="1">
        <f t="array" aca="1" ref="R57" ca="1">INDEX($E$2:$E$21, RANDBETWEEN(1,20),0)</f>
        <v>Poisoned</v>
      </c>
      <c r="S57" t="str" cm="1">
        <f t="array" aca="1" ref="S57" ca="1">INDEX($F$2:$F$21, RANDBETWEEN(1,20),0)</f>
        <v>Uninhabited</v>
      </c>
      <c r="T57" t="str" cm="1">
        <f t="array" aca="1" ref="T57" ca="1">INDEX($G$2:$G$21, RANDBETWEEN(1,20),0)</f>
        <v>Standard</v>
      </c>
      <c r="U57" t="str" cm="1">
        <f t="array" aca="1" ref="U57" ca="1">INDEX($H$2:$H$31, RANDBETWEEN(1,30),0)</f>
        <v>Communards</v>
      </c>
      <c r="V57" t="str" cm="1">
        <f t="array" aca="1" ref="V57" ca="1">INDEX($I$2:$I$101, RANDBETWEEN(1,100),0)</f>
        <v>Friendly Xenos</v>
      </c>
      <c r="W57" t="str" cm="1">
        <f t="array" aca="1" ref="W57" ca="1">INDEX($I$2:$I$101, RANDBETWEEN(1,100),0)</f>
        <v>Test Site</v>
      </c>
      <c r="X57" t="str" cm="1">
        <f t="array" aca="1" ref="X57" ca="1">INDEX($I$2:$I$101, RANDBETWEEN(1,100),0)</f>
        <v>Navigator House</v>
      </c>
    </row>
    <row r="58" spans="1:24" x14ac:dyDescent="0.25">
      <c r="A58" t="s">
        <v>35</v>
      </c>
      <c r="B58" t="s">
        <v>20</v>
      </c>
      <c r="I58" t="s">
        <v>130</v>
      </c>
      <c r="J58" t="s">
        <v>68</v>
      </c>
      <c r="K58">
        <f t="shared" ca="1" si="6"/>
        <v>7</v>
      </c>
      <c r="L58" s="2">
        <f t="shared" ca="1" si="1"/>
        <v>3</v>
      </c>
      <c r="M58" t="str" cm="1">
        <f t="array" aca="1" ref="M58" ca="1">INDEX($A$2:$A$101, RANDBETWEEN(1,100),0)</f>
        <v>M</v>
      </c>
      <c r="O58" t="str" cm="1">
        <f t="array" aca="1" ref="O58" ca="1">INDEX($B$2:$B$101, RANDBETWEEN(1,100),0)</f>
        <v>Hive World</v>
      </c>
      <c r="P58" t="str" cm="1">
        <f t="array" aca="1" ref="P58" ca="1">INDEX($C$2:$C$21, RANDBETWEEN(1,20),0)</f>
        <v>Airless</v>
      </c>
      <c r="Q58" t="str" cm="1">
        <f t="array" aca="1" ref="Q58" ca="1">INDEX($D$2:$D$21, RANDBETWEEN(1,20),0)</f>
        <v>Temperate</v>
      </c>
      <c r="R58" t="str" cm="1">
        <f t="array" aca="1" ref="R58" ca="1">INDEX($E$2:$E$21, RANDBETWEEN(1,20),0)</f>
        <v>Poisoned</v>
      </c>
      <c r="S58" t="str" cm="1">
        <f t="array" aca="1" ref="S58" ca="1">INDEX($F$2:$F$21, RANDBETWEEN(1,20),0)</f>
        <v>Sole Settlement</v>
      </c>
      <c r="T58" t="str" cm="1">
        <f t="array" aca="1" ref="T58" ca="1">INDEX($G$2:$G$21, RANDBETWEEN(1,20),0)</f>
        <v>Standard</v>
      </c>
      <c r="U58" t="str" cm="1">
        <f t="array" aca="1" ref="U58" ca="1">INDEX($H$2:$H$31, RANDBETWEEN(1,30),0)</f>
        <v>Traditionalist Aristocracy</v>
      </c>
      <c r="V58" t="str" cm="1">
        <f t="array" aca="1" ref="V58" ca="1">INDEX($I$2:$I$101, RANDBETWEEN(1,100),0)</f>
        <v>Warp Phenomena</v>
      </c>
      <c r="W58" t="str" cm="1">
        <f t="array" aca="1" ref="W58" ca="1">INDEX($I$2:$I$101, RANDBETWEEN(1,100),0)</f>
        <v>Friendly Xenos</v>
      </c>
      <c r="X58" t="str" cm="1">
        <f t="array" aca="1" ref="X58" ca="1">INDEX($I$2:$I$101, RANDBETWEEN(1,100),0)</f>
        <v>Daemonic Corruption</v>
      </c>
    </row>
    <row r="59" spans="1:24" x14ac:dyDescent="0.25">
      <c r="A59" t="s">
        <v>35</v>
      </c>
      <c r="B59" t="s">
        <v>20</v>
      </c>
      <c r="I59" t="s">
        <v>105</v>
      </c>
      <c r="L59" s="2">
        <f t="shared" ca="1" si="1"/>
        <v>6</v>
      </c>
      <c r="M59" t="str" cm="1">
        <f t="array" aca="1" ref="M59" ca="1">INDEX($A$2:$A$101, RANDBETWEEN(1,100),0)</f>
        <v>M</v>
      </c>
      <c r="O59" t="str" cm="1">
        <f t="array" aca="1" ref="O59" ca="1">INDEX($B$2:$B$101, RANDBETWEEN(1,100),0)</f>
        <v>Agri-World</v>
      </c>
      <c r="P59" t="str" cm="1">
        <f t="array" aca="1" ref="P59" ca="1">INDEX($C$2:$C$21, RANDBETWEEN(1,20),0)</f>
        <v>Corrosive</v>
      </c>
      <c r="Q59" t="str" cm="1">
        <f t="array" aca="1" ref="Q59" ca="1">INDEX($D$2:$D$21, RANDBETWEEN(1,20),0)</f>
        <v>Temperate</v>
      </c>
      <c r="R59" t="str" cm="1">
        <f t="array" aca="1" ref="R59" ca="1">INDEX($E$2:$E$21, RANDBETWEEN(1,20),0)</f>
        <v>Thriving</v>
      </c>
      <c r="S59" t="str" cm="1">
        <f t="array" aca="1" ref="S59" ca="1">INDEX($F$2:$F$21, RANDBETWEEN(1,20),0)</f>
        <v>Sole Settlement</v>
      </c>
      <c r="T59" t="str" cm="1">
        <f t="array" aca="1" ref="T59" ca="1">INDEX($G$2:$G$21, RANDBETWEEN(1,20),0)</f>
        <v>Standard</v>
      </c>
      <c r="U59" t="str" cm="1">
        <f t="array" aca="1" ref="U59" ca="1">INDEX($H$2:$H$31, RANDBETWEEN(1,30),0)</f>
        <v>Explorator Authority</v>
      </c>
      <c r="V59" t="str" cm="1">
        <f t="array" aca="1" ref="V59" ca="1">INDEX($I$2:$I$101, RANDBETWEEN(1,100),0)</f>
        <v>Forbidden Tech</v>
      </c>
      <c r="W59" t="str" cm="1">
        <f t="array" aca="1" ref="W59" ca="1">INDEX($I$2:$I$101, RANDBETWEEN(1,100),0)</f>
        <v>Eugenic Cult</v>
      </c>
      <c r="X59" t="str" cm="1">
        <f t="array" aca="1" ref="X59" ca="1">INDEX($I$2:$I$101, RANDBETWEEN(1,100),0)</f>
        <v>Archaeotech Ruins</v>
      </c>
    </row>
    <row r="60" spans="1:24" x14ac:dyDescent="0.25">
      <c r="A60" t="s">
        <v>35</v>
      </c>
      <c r="B60" t="s">
        <v>20</v>
      </c>
      <c r="I60" t="s">
        <v>128</v>
      </c>
      <c r="J60" t="s">
        <v>164</v>
      </c>
      <c r="K60">
        <f ca="1">COUNTIF($U$1:$U$121,J60)</f>
        <v>3</v>
      </c>
      <c r="L60" s="2">
        <f t="shared" ca="1" si="1"/>
        <v>1.5</v>
      </c>
      <c r="M60" t="str" cm="1">
        <f t="array" aca="1" ref="M60" ca="1">INDEX($A$2:$A$101, RANDBETWEEN(1,100),0)</f>
        <v>K</v>
      </c>
      <c r="O60" t="str" cm="1">
        <f t="array" aca="1" ref="O60" ca="1">INDEX($B$2:$B$101, RANDBETWEEN(1,100),0)</f>
        <v>Feral World</v>
      </c>
      <c r="P60" t="str" cm="1">
        <f t="array" aca="1" ref="P60" ca="1">INDEX($C$2:$C$21, RANDBETWEEN(1,20),0)</f>
        <v>Airless</v>
      </c>
      <c r="Q60" t="str" cm="1">
        <f t="array" aca="1" ref="Q60" ca="1">INDEX($D$2:$D$21, RANDBETWEEN(1,20),0)</f>
        <v>Temperate</v>
      </c>
      <c r="R60" t="str" cm="1">
        <f t="array" aca="1" ref="R60" ca="1">INDEX($E$2:$E$21, RANDBETWEEN(1,20),0)</f>
        <v>Poisoned</v>
      </c>
      <c r="S60" t="str" cm="1">
        <f t="array" aca="1" ref="S60" ca="1">INDEX($F$2:$F$21, RANDBETWEEN(1,20),0)</f>
        <v>Lightly Populated</v>
      </c>
      <c r="T60" t="str" cm="1">
        <f t="array" aca="1" ref="T60" ca="1">INDEX($G$2:$G$21, RANDBETWEEN(1,20),0)</f>
        <v>High</v>
      </c>
      <c r="U60" t="str" cm="1">
        <f t="array" aca="1" ref="U60" ca="1">INDEX($H$2:$H$31, RANDBETWEEN(1,30),0)</f>
        <v>Balkanized Local Factions</v>
      </c>
      <c r="V60" t="str" cm="1">
        <f t="array" aca="1" ref="V60" ca="1">INDEX($I$2:$I$101, RANDBETWEEN(1,100),0)</f>
        <v>Heavy Mining</v>
      </c>
      <c r="W60" t="str" cm="1">
        <f t="array" aca="1" ref="W60" ca="1">INDEX($I$2:$I$101, RANDBETWEEN(1,100),0)</f>
        <v>Silica Animus</v>
      </c>
      <c r="X60" t="str" cm="1">
        <f t="array" aca="1" ref="X60" ca="1">INDEX($I$2:$I$101, RANDBETWEEN(1,100),0)</f>
        <v>Archaeotech Ruins</v>
      </c>
    </row>
    <row r="61" spans="1:24" x14ac:dyDescent="0.25">
      <c r="A61" t="s">
        <v>35</v>
      </c>
      <c r="B61" t="s">
        <v>20</v>
      </c>
      <c r="I61" t="s">
        <v>89</v>
      </c>
      <c r="J61" t="s">
        <v>14</v>
      </c>
      <c r="K61">
        <f t="shared" ref="K61:K89" ca="1" si="7">COUNTIF($U$1:$U$121,J61)</f>
        <v>3</v>
      </c>
      <c r="L61" s="2">
        <f t="shared" ca="1" si="1"/>
        <v>1.0169491525423728</v>
      </c>
      <c r="M61" t="str" cm="1">
        <f t="array" aca="1" ref="M61" ca="1">INDEX($A$2:$A$101, RANDBETWEEN(1,100),0)</f>
        <v>G</v>
      </c>
      <c r="O61" t="str" cm="1">
        <f t="array" aca="1" ref="O61" ca="1">INDEX($B$2:$B$101, RANDBETWEEN(1,100),0)</f>
        <v>Shrine World</v>
      </c>
      <c r="P61" t="str" cm="1">
        <f t="array" aca="1" ref="P61" ca="1">INDEX($C$2:$C$21, RANDBETWEEN(1,20),0)</f>
        <v>Tainted</v>
      </c>
      <c r="Q61" t="str" cm="1">
        <f t="array" aca="1" ref="Q61" ca="1">INDEX($D$2:$D$21, RANDBETWEEN(1,20),0)</f>
        <v>Boiling</v>
      </c>
      <c r="R61" t="str" cm="1">
        <f t="array" aca="1" ref="R61" ca="1">INDEX($E$2:$E$21, RANDBETWEEN(1,20),0)</f>
        <v>Poisoned</v>
      </c>
      <c r="S61" t="str" cm="1">
        <f t="array" aca="1" ref="S61" ca="1">INDEX($F$2:$F$21, RANDBETWEEN(1,20),0)</f>
        <v>Sole Settlement</v>
      </c>
      <c r="T61" t="str" cm="1">
        <f t="array" aca="1" ref="T61" ca="1">INDEX($G$2:$G$21, RANDBETWEEN(1,20),0)</f>
        <v>Low</v>
      </c>
      <c r="U61" t="str" cm="1">
        <f t="array" aca="1" ref="U61" ca="1">INDEX($H$2:$H$31, RANDBETWEEN(1,30),0)</f>
        <v>Hereteks</v>
      </c>
      <c r="V61" t="str" cm="1">
        <f t="array" aca="1" ref="V61" ca="1">INDEX($I$2:$I$101, RANDBETWEEN(1,100),0)</f>
        <v>Xeno Ruins</v>
      </c>
      <c r="W61" t="str" cm="1">
        <f t="array" aca="1" ref="W61" ca="1">INDEX($I$2:$I$101, RANDBETWEEN(1,100),0)</f>
        <v>Abhumans</v>
      </c>
      <c r="X61" t="str" cm="1">
        <f t="array" aca="1" ref="X61" ca="1">INDEX($I$2:$I$101, RANDBETWEEN(1,100),0)</f>
        <v>Space Hulks</v>
      </c>
    </row>
    <row r="62" spans="1:24" x14ac:dyDescent="0.25">
      <c r="A62" t="s">
        <v>35</v>
      </c>
      <c r="B62" t="s">
        <v>180</v>
      </c>
      <c r="I62" t="s">
        <v>174</v>
      </c>
      <c r="J62" t="s">
        <v>160</v>
      </c>
      <c r="K62">
        <f t="shared" ca="1" si="7"/>
        <v>2</v>
      </c>
      <c r="L62" s="2">
        <f t="shared" ca="1" si="1"/>
        <v>1.0909090909090908</v>
      </c>
      <c r="M62" t="str" cm="1">
        <f t="array" aca="1" ref="M62" ca="1">INDEX($A$2:$A$101, RANDBETWEEN(1,100),0)</f>
        <v>K</v>
      </c>
      <c r="O62" t="str" cm="1">
        <f t="array" aca="1" ref="O62" ca="1">INDEX($B$2:$B$101, RANDBETWEEN(1,100),0)</f>
        <v>Xenos World</v>
      </c>
      <c r="P62" t="str" cm="1">
        <f t="array" aca="1" ref="P62" ca="1">INDEX($C$2:$C$21, RANDBETWEEN(1,20),0)</f>
        <v>Thin</v>
      </c>
      <c r="Q62" t="str" cm="1">
        <f t="array" aca="1" ref="Q62" ca="1">INDEX($D$2:$D$21, RANDBETWEEN(1,20),0)</f>
        <v>Freezing</v>
      </c>
      <c r="R62" t="str" cm="1">
        <f t="array" aca="1" ref="R62" ca="1">INDEX($E$2:$E$21, RANDBETWEEN(1,20),0)</f>
        <v>Poisoned</v>
      </c>
      <c r="S62" t="str" cm="1">
        <f t="array" aca="1" ref="S62" ca="1">INDEX($F$2:$F$21, RANDBETWEEN(1,20),0)</f>
        <v>Densely Populated</v>
      </c>
      <c r="T62" t="str" cm="1">
        <f t="array" aca="1" ref="T62" ca="1">INDEX($G$2:$G$21, RANDBETWEEN(1,20),0)</f>
        <v>Standard</v>
      </c>
      <c r="U62" t="str" cm="1">
        <f t="array" aca="1" ref="U62" ca="1">INDEX($H$2:$H$31, RANDBETWEEN(1,30),0)</f>
        <v>Traditionalist Aristocracy</v>
      </c>
      <c r="V62" t="str" cm="1">
        <f t="array" aca="1" ref="V62" ca="1">INDEX($I$2:$I$101, RANDBETWEEN(1,100),0)</f>
        <v>Friendly Xenos</v>
      </c>
      <c r="W62" t="str" cm="1">
        <f t="array" aca="1" ref="W62" ca="1">INDEX($I$2:$I$101, RANDBETWEEN(1,100),0)</f>
        <v>Seagoing Cities</v>
      </c>
      <c r="X62" t="str" cm="1">
        <f t="array" aca="1" ref="X62" ca="1">INDEX($I$2:$I$101, RANDBETWEEN(1,100),0)</f>
        <v>Frozen World</v>
      </c>
    </row>
    <row r="63" spans="1:24" x14ac:dyDescent="0.25">
      <c r="A63" t="s">
        <v>35</v>
      </c>
      <c r="B63" t="s">
        <v>180</v>
      </c>
      <c r="I63" t="s">
        <v>124</v>
      </c>
      <c r="J63" t="s">
        <v>13</v>
      </c>
      <c r="K63">
        <f t="shared" ca="1" si="7"/>
        <v>3</v>
      </c>
      <c r="L63" s="2">
        <f t="shared" ca="1" si="1"/>
        <v>1.1214953271028036</v>
      </c>
      <c r="M63" t="str" cm="1">
        <f t="array" aca="1" ref="M63" ca="1">INDEX($A$2:$A$101, RANDBETWEEN(1,100),0)</f>
        <v>F</v>
      </c>
      <c r="O63" t="str" cm="1">
        <f t="array" aca="1" ref="O63" ca="1">INDEX($B$2:$B$101, RANDBETWEEN(1,100),0)</f>
        <v>Bastion World</v>
      </c>
      <c r="P63" t="str" cm="1">
        <f t="array" aca="1" ref="P63" ca="1">INDEX($C$2:$C$21, RANDBETWEEN(1,20),0)</f>
        <v>Tainted</v>
      </c>
      <c r="Q63" t="str" cm="1">
        <f t="array" aca="1" ref="Q63" ca="1">INDEX($D$2:$D$21, RANDBETWEEN(1,20),0)</f>
        <v>Hot</v>
      </c>
      <c r="R63" t="str" cm="1">
        <f t="array" aca="1" ref="R63" ca="1">INDEX($E$2:$E$21, RANDBETWEEN(1,20),0)</f>
        <v>Minimal</v>
      </c>
      <c r="S63" t="str" cm="1">
        <f t="array" aca="1" ref="S63" ca="1">INDEX($F$2:$F$21, RANDBETWEEN(1,20),0)</f>
        <v>Sole Settlement</v>
      </c>
      <c r="T63" t="str" cm="1">
        <f t="array" aca="1" ref="T63" ca="1">INDEX($G$2:$G$21, RANDBETWEEN(1,20),0)</f>
        <v>Standard</v>
      </c>
      <c r="U63" t="str" cm="1">
        <f t="array" aca="1" ref="U63" ca="1">INDEX($H$2:$H$31, RANDBETWEEN(1,30),0)</f>
        <v>Traditionalist Aristocracy</v>
      </c>
      <c r="V63" t="str" cm="1">
        <f t="array" aca="1" ref="V63" ca="1">INDEX($I$2:$I$101, RANDBETWEEN(1,100),0)</f>
        <v>Prosperous</v>
      </c>
      <c r="W63" t="str" cm="1">
        <f t="array" aca="1" ref="W63" ca="1">INDEX($I$2:$I$101, RANDBETWEEN(1,100),0)</f>
        <v>Subsector Hegemon</v>
      </c>
      <c r="X63" t="str" cm="1">
        <f t="array" aca="1" ref="X63" ca="1">INDEX($I$2:$I$101, RANDBETWEEN(1,100),0)</f>
        <v>Warp Phenomena</v>
      </c>
    </row>
    <row r="64" spans="1:24" x14ac:dyDescent="0.25">
      <c r="A64" t="s">
        <v>35</v>
      </c>
      <c r="B64" t="s">
        <v>180</v>
      </c>
      <c r="I64" t="s">
        <v>195</v>
      </c>
      <c r="J64" t="s">
        <v>173</v>
      </c>
      <c r="K64">
        <f t="shared" ca="1" si="7"/>
        <v>4</v>
      </c>
      <c r="L64" s="2">
        <f t="shared" ca="1" si="1"/>
        <v>2.7906976744186047</v>
      </c>
      <c r="M64" t="str" cm="1">
        <f t="array" aca="1" ref="M64" ca="1">INDEX($A$2:$A$101, RANDBETWEEN(1,100),0)</f>
        <v>K</v>
      </c>
      <c r="O64" t="str" cm="1">
        <f t="array" aca="1" ref="O64" ca="1">INDEX($B$2:$B$101, RANDBETWEEN(1,100),0)</f>
        <v>Feudal World</v>
      </c>
      <c r="P64" t="str" cm="1">
        <f t="array" aca="1" ref="P64" ca="1">INDEX($C$2:$C$21, RANDBETWEEN(1,20),0)</f>
        <v>Breathable</v>
      </c>
      <c r="Q64" t="str" cm="1">
        <f t="array" aca="1" ref="Q64" ca="1">INDEX($D$2:$D$21, RANDBETWEEN(1,20),0)</f>
        <v>Cold</v>
      </c>
      <c r="R64" t="str" cm="1">
        <f t="array" aca="1" ref="R64" ca="1">INDEX($E$2:$E$21, RANDBETWEEN(1,20),0)</f>
        <v>Minimal</v>
      </c>
      <c r="S64" t="str" cm="1">
        <f t="array" aca="1" ref="S64" ca="1">INDEX($F$2:$F$21, RANDBETWEEN(1,20),0)</f>
        <v>Densely Populated</v>
      </c>
      <c r="T64" t="str" cm="1">
        <f t="array" aca="1" ref="T64" ca="1">INDEX($G$2:$G$21, RANDBETWEEN(1,20),0)</f>
        <v>Primitive</v>
      </c>
      <c r="U64" t="str" cm="1">
        <f t="array" aca="1" ref="U64" ca="1">INDEX($H$2:$H$31, RANDBETWEEN(1,30),0)</f>
        <v>Warrior Aristocracy</v>
      </c>
      <c r="V64" t="str" cm="1">
        <f t="array" aca="1" ref="V64" ca="1">INDEX($I$2:$I$101, RANDBETWEEN(1,100),0)</f>
        <v>Inquisition Outpost</v>
      </c>
      <c r="W64" t="str" cm="1">
        <f t="array" aca="1" ref="W64" ca="1">INDEX($I$2:$I$101, RANDBETWEEN(1,100),0)</f>
        <v>Abhumans</v>
      </c>
      <c r="X64" t="str" cm="1">
        <f t="array" aca="1" ref="X64" ca="1">INDEX($I$2:$I$101, RANDBETWEEN(1,100),0)</f>
        <v>Missionaries</v>
      </c>
    </row>
    <row r="65" spans="1:24" x14ac:dyDescent="0.25">
      <c r="A65" t="s">
        <v>35</v>
      </c>
      <c r="B65" t="s">
        <v>180</v>
      </c>
      <c r="I65" t="s">
        <v>76</v>
      </c>
      <c r="J65" t="s">
        <v>179</v>
      </c>
      <c r="K65">
        <f t="shared" ca="1" si="7"/>
        <v>5</v>
      </c>
      <c r="L65" s="2">
        <f t="shared" ca="1" si="1"/>
        <v>3.2432432432432434</v>
      </c>
      <c r="M65" t="str" cm="1">
        <f t="array" aca="1" ref="M65" ca="1">INDEX($A$2:$A$101, RANDBETWEEN(1,100),0)</f>
        <v>G</v>
      </c>
      <c r="O65" t="str" cm="1">
        <f t="array" aca="1" ref="O65" ca="1">INDEX($B$2:$B$101, RANDBETWEEN(1,100),0)</f>
        <v>Frontier World</v>
      </c>
      <c r="P65" t="str" cm="1">
        <f t="array" aca="1" ref="P65" ca="1">INDEX($C$2:$C$21, RANDBETWEEN(1,20),0)</f>
        <v>Breathable</v>
      </c>
      <c r="Q65" t="str" cm="1">
        <f t="array" aca="1" ref="Q65" ca="1">INDEX($D$2:$D$21, RANDBETWEEN(1,20),0)</f>
        <v>Temperate</v>
      </c>
      <c r="R65" t="str" cm="1">
        <f t="array" aca="1" ref="R65" ca="1">INDEX($E$2:$E$21, RANDBETWEEN(1,20),0)</f>
        <v>Xeno Hybrid</v>
      </c>
      <c r="S65" t="str" cm="1">
        <f t="array" aca="1" ref="S65" ca="1">INDEX($F$2:$F$21, RANDBETWEEN(1,20),0)</f>
        <v>Sole Settlement</v>
      </c>
      <c r="T65" t="str" cm="1">
        <f t="array" aca="1" ref="T65" ca="1">INDEX($G$2:$G$21, RANDBETWEEN(1,20),0)</f>
        <v>High</v>
      </c>
      <c r="U65" t="str" cm="1">
        <f t="array" aca="1" ref="U65" ca="1">INDEX($H$2:$H$31, RANDBETWEEN(1,30),0)</f>
        <v>Heretical Imperial Cult</v>
      </c>
      <c r="V65" t="str" cm="1">
        <f t="array" aca="1" ref="V65" ca="1">INDEX($I$2:$I$101, RANDBETWEEN(1,100),0)</f>
        <v>Mutant Hordes</v>
      </c>
      <c r="W65" t="str" cm="1">
        <f t="array" aca="1" ref="W65" ca="1">INDEX($I$2:$I$101, RANDBETWEEN(1,100),0)</f>
        <v>Jungle World</v>
      </c>
      <c r="X65" t="str" cm="1">
        <f t="array" aca="1" ref="X65" ca="1">INDEX($I$2:$I$101, RANDBETWEEN(1,100),0)</f>
        <v>Friendly Xenos</v>
      </c>
    </row>
    <row r="66" spans="1:24" x14ac:dyDescent="0.25">
      <c r="A66" t="s">
        <v>35</v>
      </c>
      <c r="B66" t="s">
        <v>180</v>
      </c>
      <c r="I66" t="s">
        <v>191</v>
      </c>
      <c r="J66" t="s">
        <v>156</v>
      </c>
      <c r="K66">
        <f t="shared" ca="1" si="7"/>
        <v>4</v>
      </c>
      <c r="L66" s="2">
        <f t="shared" ca="1" si="1"/>
        <v>1.791044776119403</v>
      </c>
      <c r="M66" t="str" cm="1">
        <f t="array" aca="1" ref="M66" ca="1">INDEX($A$2:$A$101, RANDBETWEEN(1,100),0)</f>
        <v>A</v>
      </c>
      <c r="O66" t="str" cm="1">
        <f t="array" aca="1" ref="O66" ca="1">INDEX($B$2:$B$101, RANDBETWEEN(1,100),0)</f>
        <v>Death World</v>
      </c>
      <c r="P66" t="str" cm="1">
        <f t="array" aca="1" ref="P66" ca="1">INDEX($C$2:$C$21, RANDBETWEEN(1,20),0)</f>
        <v>Thin</v>
      </c>
      <c r="Q66" t="str" cm="1">
        <f t="array" aca="1" ref="Q66" ca="1">INDEX($D$2:$D$21, RANDBETWEEN(1,20),0)</f>
        <v>Hot</v>
      </c>
      <c r="R66" t="str" cm="1">
        <f t="array" aca="1" ref="R66" ca="1">INDEX($E$2:$E$21, RANDBETWEEN(1,20),0)</f>
        <v>Poisoned</v>
      </c>
      <c r="S66" t="str" cm="1">
        <f t="array" aca="1" ref="S66" ca="1">INDEX($F$2:$F$21, RANDBETWEEN(1,20),0)</f>
        <v>Extremely Dense</v>
      </c>
      <c r="T66" t="str" cm="1">
        <f t="array" aca="1" ref="T66" ca="1">INDEX($G$2:$G$21, RANDBETWEEN(1,20),0)</f>
        <v>Standard</v>
      </c>
      <c r="U66" t="str" cm="1">
        <f t="array" aca="1" ref="U66" ca="1">INDEX($H$2:$H$31, RANDBETWEEN(1,30),0)</f>
        <v>Warlords</v>
      </c>
      <c r="V66" t="str" cm="1">
        <f t="array" aca="1" ref="V66" ca="1">INDEX($I$2:$I$101, RANDBETWEEN(1,100),0)</f>
        <v>Pocket Empire</v>
      </c>
      <c r="W66" t="str" cm="1">
        <f t="array" aca="1" ref="W66" ca="1">INDEX($I$2:$I$101, RANDBETWEEN(1,100),0)</f>
        <v>Sororitas Convent</v>
      </c>
      <c r="X66" t="str" cm="1">
        <f t="array" aca="1" ref="X66" ca="1">INDEX($I$2:$I$101, RANDBETWEEN(1,100),0)</f>
        <v>Powerful Criminals</v>
      </c>
    </row>
    <row r="67" spans="1:24" x14ac:dyDescent="0.25">
      <c r="A67" t="s">
        <v>35</v>
      </c>
      <c r="B67" t="s">
        <v>180</v>
      </c>
      <c r="I67" t="s">
        <v>90</v>
      </c>
      <c r="J67" t="s">
        <v>59</v>
      </c>
      <c r="K67">
        <f t="shared" ca="1" si="7"/>
        <v>5</v>
      </c>
      <c r="L67" s="2">
        <f t="shared" ref="L67:L121" ca="1" si="8">120/RANDBETWEEN(12,120)</f>
        <v>1.5584415584415585</v>
      </c>
      <c r="M67" t="str" cm="1">
        <f t="array" aca="1" ref="M67" ca="1">INDEX($A$2:$A$101, RANDBETWEEN(1,100),0)</f>
        <v>K</v>
      </c>
      <c r="O67" t="str" cm="1">
        <f t="array" aca="1" ref="O67" ca="1">INDEX($B$2:$B$101, RANDBETWEEN(1,100),0)</f>
        <v>Industrial World</v>
      </c>
      <c r="P67" t="str" cm="1">
        <f t="array" aca="1" ref="P67" ca="1">INDEX($C$2:$C$21, RANDBETWEEN(1,20),0)</f>
        <v>Breathable</v>
      </c>
      <c r="Q67" t="str" cm="1">
        <f t="array" aca="1" ref="Q67" ca="1">INDEX($D$2:$D$21, RANDBETWEEN(1,20),0)</f>
        <v>Cold</v>
      </c>
      <c r="R67" t="str" cm="1">
        <f t="array" aca="1" ref="R67" ca="1">INDEX($E$2:$E$21, RANDBETWEEN(1,20),0)</f>
        <v>Xeno Dominance</v>
      </c>
      <c r="S67" t="str" cm="1">
        <f t="array" aca="1" ref="S67" ca="1">INDEX($F$2:$F$21, RANDBETWEEN(1,20),0)</f>
        <v>Minimal</v>
      </c>
      <c r="T67" t="str" cm="1">
        <f t="array" aca="1" ref="T67" ca="1">INDEX($G$2:$G$21, RANDBETWEEN(1,20),0)</f>
        <v>Low</v>
      </c>
      <c r="U67" t="str" cm="1">
        <f t="array" aca="1" ref="U67" ca="1">INDEX($H$2:$H$31, RANDBETWEEN(1,30),0)</f>
        <v>None</v>
      </c>
      <c r="V67" t="str" cm="1">
        <f t="array" aca="1" ref="V67" ca="1">INDEX($I$2:$I$101, RANDBETWEEN(1,100),0)</f>
        <v>Pocket Empire</v>
      </c>
      <c r="W67" t="str" cm="1">
        <f t="array" aca="1" ref="W67" ca="1">INDEX($I$2:$I$101, RANDBETWEEN(1,100),0)</f>
        <v>Police State</v>
      </c>
      <c r="X67" t="str" cm="1">
        <f t="array" aca="1" ref="X67" ca="1">INDEX($I$2:$I$101, RANDBETWEEN(1,100),0)</f>
        <v>Psyker Academy</v>
      </c>
    </row>
    <row r="68" spans="1:24" x14ac:dyDescent="0.25">
      <c r="A68" t="s">
        <v>35</v>
      </c>
      <c r="B68" t="s">
        <v>180</v>
      </c>
      <c r="I68" t="s">
        <v>63</v>
      </c>
      <c r="J68" t="s">
        <v>172</v>
      </c>
      <c r="K68">
        <f t="shared" ca="1" si="7"/>
        <v>2</v>
      </c>
      <c r="L68" s="2">
        <f t="shared" ca="1" si="8"/>
        <v>5.4545454545454541</v>
      </c>
      <c r="M68" t="str" cm="1">
        <f t="array" aca="1" ref="M68" ca="1">INDEX($A$2:$A$101, RANDBETWEEN(1,100),0)</f>
        <v>M</v>
      </c>
      <c r="O68" t="str" cm="1">
        <f t="array" aca="1" ref="O68" ca="1">INDEX($B$2:$B$101, RANDBETWEEN(1,100),0)</f>
        <v>Shrine World</v>
      </c>
      <c r="P68" t="str" cm="1">
        <f t="array" aca="1" ref="P68" ca="1">INDEX($C$2:$C$21, RANDBETWEEN(1,20),0)</f>
        <v>Breathable</v>
      </c>
      <c r="Q68" t="str" cm="1">
        <f t="array" aca="1" ref="Q68" ca="1">INDEX($D$2:$D$21, RANDBETWEEN(1,20),0)</f>
        <v>Temperate</v>
      </c>
      <c r="R68" t="str" cm="1">
        <f t="array" aca="1" ref="R68" ca="1">INDEX($E$2:$E$21, RANDBETWEEN(1,20),0)</f>
        <v>Thriving</v>
      </c>
      <c r="S68" t="str" cm="1">
        <f t="array" aca="1" ref="S68" ca="1">INDEX($F$2:$F$21, RANDBETWEEN(1,20),0)</f>
        <v>Densely Populated</v>
      </c>
      <c r="T68" t="str" cm="1">
        <f t="array" aca="1" ref="T68" ca="1">INDEX($G$2:$G$21, RANDBETWEEN(1,20),0)</f>
        <v>High</v>
      </c>
      <c r="U68" t="str" cm="1">
        <f t="array" aca="1" ref="U68" ca="1">INDEX($H$2:$H$31, RANDBETWEEN(1,30),0)</f>
        <v>Revolutionary Junta</v>
      </c>
      <c r="V68" t="str" cm="1">
        <f t="array" aca="1" ref="V68" ca="1">INDEX($I$2:$I$101, RANDBETWEEN(1,100),0)</f>
        <v>Hostile Xenos</v>
      </c>
      <c r="W68" t="str" cm="1">
        <f t="array" aca="1" ref="W68" ca="1">INDEX($I$2:$I$101, RANDBETWEEN(1,100),0)</f>
        <v>Mass Panic</v>
      </c>
      <c r="X68" t="str" cm="1">
        <f t="array" aca="1" ref="X68" ca="1">INDEX($I$2:$I$101, RANDBETWEEN(1,100),0)</f>
        <v>Xenophobes</v>
      </c>
    </row>
    <row r="69" spans="1:24" x14ac:dyDescent="0.25">
      <c r="A69" t="s">
        <v>35</v>
      </c>
      <c r="B69" t="s">
        <v>180</v>
      </c>
      <c r="I69" t="s">
        <v>79</v>
      </c>
      <c r="J69" t="s">
        <v>159</v>
      </c>
      <c r="K69">
        <f t="shared" ca="1" si="7"/>
        <v>1</v>
      </c>
      <c r="L69" s="2">
        <f t="shared" ca="1" si="8"/>
        <v>1.2371134020618557</v>
      </c>
      <c r="M69" t="str" cm="1">
        <f t="array" aca="1" ref="M69" ca="1">INDEX($A$2:$A$101, RANDBETWEEN(1,100),0)</f>
        <v>G</v>
      </c>
      <c r="O69" t="str" cm="1">
        <f t="array" aca="1" ref="O69" ca="1">INDEX($B$2:$B$101, RANDBETWEEN(1,100),0)</f>
        <v>Feudal World</v>
      </c>
      <c r="P69" t="str" cm="1">
        <f t="array" aca="1" ref="P69" ca="1">INDEX($C$2:$C$21, RANDBETWEEN(1,20),0)</f>
        <v>Thin</v>
      </c>
      <c r="Q69" t="str" cm="1">
        <f t="array" aca="1" ref="Q69" ca="1">INDEX($D$2:$D$21, RANDBETWEEN(1,20),0)</f>
        <v>Hot</v>
      </c>
      <c r="R69" t="str" cm="1">
        <f t="array" aca="1" ref="R69" ca="1">INDEX($E$2:$E$21, RANDBETWEEN(1,20),0)</f>
        <v>Thriving</v>
      </c>
      <c r="S69" t="str" cm="1">
        <f t="array" aca="1" ref="S69" ca="1">INDEX($F$2:$F$21, RANDBETWEEN(1,20),0)</f>
        <v>Densely Populated</v>
      </c>
      <c r="T69" t="str" cm="1">
        <f t="array" aca="1" ref="T69" ca="1">INDEX($G$2:$G$21, RANDBETWEEN(1,20),0)</f>
        <v>Low</v>
      </c>
      <c r="U69" t="str" cm="1">
        <f t="array" aca="1" ref="U69" ca="1">INDEX($H$2:$H$31, RANDBETWEEN(1,30),0)</f>
        <v>Corrupt Aristocrats</v>
      </c>
      <c r="V69" t="str" cm="1">
        <f t="array" aca="1" ref="V69" ca="1">INDEX($I$2:$I$101, RANDBETWEEN(1,100),0)</f>
        <v>Major Spaceyard</v>
      </c>
      <c r="W69" t="str" cm="1">
        <f t="array" aca="1" ref="W69" ca="1">INDEX($I$2:$I$101, RANDBETWEEN(1,100),0)</f>
        <v>Minimal Contact</v>
      </c>
      <c r="X69" t="str" cm="1">
        <f t="array" aca="1" ref="X69" ca="1">INDEX($I$2:$I$101, RANDBETWEEN(1,100),0)</f>
        <v>Mass Panic</v>
      </c>
    </row>
    <row r="70" spans="1:24" x14ac:dyDescent="0.25">
      <c r="A70" t="s">
        <v>35</v>
      </c>
      <c r="B70" t="s">
        <v>22</v>
      </c>
      <c r="I70" t="s">
        <v>84</v>
      </c>
      <c r="J70" t="s">
        <v>123</v>
      </c>
      <c r="K70">
        <f t="shared" ca="1" si="7"/>
        <v>9</v>
      </c>
      <c r="L70" s="2">
        <f t="shared" ca="1" si="8"/>
        <v>1.0256410256410255</v>
      </c>
      <c r="M70" t="str" cm="1">
        <f t="array" aca="1" ref="M70" ca="1">INDEX($A$2:$A$101, RANDBETWEEN(1,100),0)</f>
        <v>K</v>
      </c>
      <c r="O70" t="str" cm="1">
        <f t="array" aca="1" ref="O70" ca="1">INDEX($B$2:$B$101, RANDBETWEEN(1,100),0)</f>
        <v>Shrine World</v>
      </c>
      <c r="P70" t="str" cm="1">
        <f t="array" aca="1" ref="P70" ca="1">INDEX($C$2:$C$21, RANDBETWEEN(1,20),0)</f>
        <v>Breathable</v>
      </c>
      <c r="Q70" t="str" cm="1">
        <f t="array" aca="1" ref="Q70" ca="1">INDEX($D$2:$D$21, RANDBETWEEN(1,20),0)</f>
        <v>Temperate</v>
      </c>
      <c r="R70" t="str" cm="1">
        <f t="array" aca="1" ref="R70" ca="1">INDEX($E$2:$E$21, RANDBETWEEN(1,20),0)</f>
        <v>Xeno Hybrid</v>
      </c>
      <c r="S70" t="str" cm="1">
        <f t="array" aca="1" ref="S70" ca="1">INDEX($F$2:$F$21, RANDBETWEEN(1,20),0)</f>
        <v>Uninhabited</v>
      </c>
      <c r="T70" t="str" cm="1">
        <f t="array" aca="1" ref="T70" ca="1">INDEX($G$2:$G$21, RANDBETWEEN(1,20),0)</f>
        <v>Low</v>
      </c>
      <c r="U70" t="str" cm="1">
        <f t="array" aca="1" ref="U70" ca="1">INDEX($H$2:$H$31, RANDBETWEEN(1,30),0)</f>
        <v>None</v>
      </c>
      <c r="V70" t="str" cm="1">
        <f t="array" aca="1" ref="V70" ca="1">INDEX($I$2:$I$101, RANDBETWEEN(1,100),0)</f>
        <v>Freak Geology</v>
      </c>
      <c r="W70" t="str" cm="1">
        <f t="array" aca="1" ref="W70" ca="1">INDEX($I$2:$I$101, RANDBETWEEN(1,100),0)</f>
        <v>Dangerous Wildlife</v>
      </c>
      <c r="X70" t="str" cm="1">
        <f t="array" aca="1" ref="X70" ca="1">INDEX($I$2:$I$101, RANDBETWEEN(1,100),0)</f>
        <v>War Zone</v>
      </c>
    </row>
    <row r="71" spans="1:24" x14ac:dyDescent="0.25">
      <c r="A71" t="s">
        <v>35</v>
      </c>
      <c r="B71" t="s">
        <v>22</v>
      </c>
      <c r="I71" t="s">
        <v>147</v>
      </c>
      <c r="J71" t="s">
        <v>62</v>
      </c>
      <c r="K71">
        <f t="shared" ca="1" si="7"/>
        <v>5</v>
      </c>
      <c r="L71" s="2">
        <f t="shared" ca="1" si="8"/>
        <v>1.5584415584415585</v>
      </c>
      <c r="M71" t="str" cm="1">
        <f t="array" aca="1" ref="M71" ca="1">INDEX($A$2:$A$101, RANDBETWEEN(1,100),0)</f>
        <v>B</v>
      </c>
      <c r="O71" t="str" cm="1">
        <f t="array" aca="1" ref="O71" ca="1">INDEX($B$2:$B$101, RANDBETWEEN(1,100),0)</f>
        <v>Penal World</v>
      </c>
      <c r="P71" t="str" cm="1">
        <f t="array" aca="1" ref="P71" ca="1">INDEX($C$2:$C$21, RANDBETWEEN(1,20),0)</f>
        <v>Breathable</v>
      </c>
      <c r="Q71" t="str" cm="1">
        <f t="array" aca="1" ref="Q71" ca="1">INDEX($D$2:$D$21, RANDBETWEEN(1,20),0)</f>
        <v>Temperate</v>
      </c>
      <c r="R71" t="str" cm="1">
        <f t="array" aca="1" ref="R71" ca="1">INDEX($E$2:$E$21, RANDBETWEEN(1,20),0)</f>
        <v>Xeno Dominance</v>
      </c>
      <c r="S71" t="str" cm="1">
        <f t="array" aca="1" ref="S71" ca="1">INDEX($F$2:$F$21, RANDBETWEEN(1,20),0)</f>
        <v>Densely Populated</v>
      </c>
      <c r="T71" t="str" cm="1">
        <f t="array" aca="1" ref="T71" ca="1">INDEX($G$2:$G$21, RANDBETWEEN(1,20),0)</f>
        <v>Standard</v>
      </c>
      <c r="U71" t="str" cm="1">
        <f t="array" aca="1" ref="U71" ca="1">INDEX($H$2:$H$31, RANDBETWEEN(1,30),0)</f>
        <v>Mechanicus Forge-Lord</v>
      </c>
      <c r="V71" t="str" cm="1">
        <f t="array" aca="1" ref="V71" ca="1">INDEX($I$2:$I$101, RANDBETWEEN(1,100),0)</f>
        <v>Quarantined</v>
      </c>
      <c r="W71" t="str" cm="1">
        <f t="array" aca="1" ref="W71" ca="1">INDEX($I$2:$I$101, RANDBETWEEN(1,100),0)</f>
        <v>Altered Humans</v>
      </c>
      <c r="X71" t="str" cm="1">
        <f t="array" aca="1" ref="X71" ca="1">INDEX($I$2:$I$101, RANDBETWEEN(1,100),0)</f>
        <v>Ancient Tombs</v>
      </c>
    </row>
    <row r="72" spans="1:24" x14ac:dyDescent="0.25">
      <c r="A72" t="s">
        <v>35</v>
      </c>
      <c r="B72" t="s">
        <v>22</v>
      </c>
      <c r="I72" t="s">
        <v>56</v>
      </c>
      <c r="J72" t="s">
        <v>155</v>
      </c>
      <c r="K72">
        <f t="shared" ca="1" si="7"/>
        <v>4</v>
      </c>
      <c r="L72" s="2">
        <f t="shared" ca="1" si="8"/>
        <v>2.6086956521739131</v>
      </c>
      <c r="M72" t="str" cm="1">
        <f t="array" aca="1" ref="M72" ca="1">INDEX($A$2:$A$101, RANDBETWEEN(1,100),0)</f>
        <v>G</v>
      </c>
      <c r="O72" t="str" cm="1">
        <f t="array" aca="1" ref="O72" ca="1">INDEX($B$2:$B$101, RANDBETWEEN(1,100),0)</f>
        <v>Tomb World</v>
      </c>
      <c r="P72" t="str" cm="1">
        <f t="array" aca="1" ref="P72" ca="1">INDEX($C$2:$C$21, RANDBETWEEN(1,20),0)</f>
        <v>Breathable</v>
      </c>
      <c r="Q72" t="str" cm="1">
        <f t="array" aca="1" ref="Q72" ca="1">INDEX($D$2:$D$21, RANDBETWEEN(1,20),0)</f>
        <v>Hot</v>
      </c>
      <c r="R72" t="str" cm="1">
        <f t="array" aca="1" ref="R72" ca="1">INDEX($E$2:$E$21, RANDBETWEEN(1,20),0)</f>
        <v>Minimal</v>
      </c>
      <c r="S72" t="str" cm="1">
        <f t="array" aca="1" ref="S72" ca="1">INDEX($F$2:$F$21, RANDBETWEEN(1,20),0)</f>
        <v>Sole Settlement</v>
      </c>
      <c r="T72" t="str" cm="1">
        <f t="array" aca="1" ref="T72" ca="1">INDEX($G$2:$G$21, RANDBETWEEN(1,20),0)</f>
        <v>Standard</v>
      </c>
      <c r="U72" t="str" cm="1">
        <f t="array" aca="1" ref="U72" ca="1">INDEX($H$2:$H$31, RANDBETWEEN(1,30),0)</f>
        <v>Explorator Authority</v>
      </c>
      <c r="V72" t="str" cm="1">
        <f t="array" aca="1" ref="V72" ca="1">INDEX($I$2:$I$101, RANDBETWEEN(1,100),0)</f>
        <v>Verdant Ecology</v>
      </c>
      <c r="W72" t="str" cm="1">
        <f t="array" aca="1" ref="W72" ca="1">INDEX($I$2:$I$101, RANDBETWEEN(1,100),0)</f>
        <v>Hostile Biosphere</v>
      </c>
      <c r="X72" t="str" cm="1">
        <f t="array" aca="1" ref="X72" ca="1">INDEX($I$2:$I$101, RANDBETWEEN(1,100),0)</f>
        <v>Inquisition Outpost</v>
      </c>
    </row>
    <row r="73" spans="1:24" x14ac:dyDescent="0.25">
      <c r="A73" t="s">
        <v>35</v>
      </c>
      <c r="B73" t="s">
        <v>22</v>
      </c>
      <c r="I73" t="s">
        <v>71</v>
      </c>
      <c r="J73" t="s">
        <v>15</v>
      </c>
      <c r="K73">
        <f t="shared" ca="1" si="7"/>
        <v>4</v>
      </c>
      <c r="L73" s="2">
        <f t="shared" ca="1" si="8"/>
        <v>4</v>
      </c>
      <c r="M73" t="str" cm="1">
        <f t="array" aca="1" ref="M73" ca="1">INDEX($A$2:$A$101, RANDBETWEEN(1,100),0)</f>
        <v>G</v>
      </c>
      <c r="O73" t="str" cm="1">
        <f t="array" aca="1" ref="O73" ca="1">INDEX($B$2:$B$101, RANDBETWEEN(1,100),0)</f>
        <v>Warp-Lost World</v>
      </c>
      <c r="P73" t="str" cm="1">
        <f t="array" aca="1" ref="P73" ca="1">INDEX($C$2:$C$21, RANDBETWEEN(1,20),0)</f>
        <v>Toxic</v>
      </c>
      <c r="Q73" t="str" cm="1">
        <f t="array" aca="1" ref="Q73" ca="1">INDEX($D$2:$D$21, RANDBETWEEN(1,20),0)</f>
        <v>Cold</v>
      </c>
      <c r="R73" t="str" cm="1">
        <f t="array" aca="1" ref="R73" ca="1">INDEX($E$2:$E$21, RANDBETWEEN(1,20),0)</f>
        <v>Minimal</v>
      </c>
      <c r="S73" t="str" cm="1">
        <f t="array" aca="1" ref="S73" ca="1">INDEX($F$2:$F$21, RANDBETWEEN(1,20),0)</f>
        <v>Densely Populated</v>
      </c>
      <c r="T73" t="str" cm="1">
        <f t="array" aca="1" ref="T73" ca="1">INDEX($G$2:$G$21, RANDBETWEEN(1,20),0)</f>
        <v>Low</v>
      </c>
      <c r="U73" t="str" cm="1">
        <f t="array" aca="1" ref="U73" ca="1">INDEX($H$2:$H$31, RANDBETWEEN(1,30),0)</f>
        <v>Warrior Aristocracy</v>
      </c>
      <c r="V73" t="str" cm="1">
        <f t="array" aca="1" ref="V73" ca="1">INDEX($I$2:$I$101, RANDBETWEEN(1,100),0)</f>
        <v>Sororitas Convent</v>
      </c>
      <c r="W73" t="str" cm="1">
        <f t="array" aca="1" ref="W73" ca="1">INDEX($I$2:$I$101, RANDBETWEEN(1,100),0)</f>
        <v>Zombies</v>
      </c>
      <c r="X73" t="str" cm="1">
        <f t="array" aca="1" ref="X73" ca="1">INDEX($I$2:$I$101, RANDBETWEEN(1,100),0)</f>
        <v>Hostile Biosphere</v>
      </c>
    </row>
    <row r="74" spans="1:24" x14ac:dyDescent="0.25">
      <c r="A74" t="s">
        <v>35</v>
      </c>
      <c r="B74" t="s">
        <v>22</v>
      </c>
      <c r="I74" t="s">
        <v>77</v>
      </c>
      <c r="J74" t="s">
        <v>153</v>
      </c>
      <c r="K74">
        <f t="shared" ca="1" si="7"/>
        <v>2</v>
      </c>
      <c r="L74" s="2">
        <f t="shared" ca="1" si="8"/>
        <v>2.6666666666666665</v>
      </c>
      <c r="M74" t="str" cm="1">
        <f t="array" aca="1" ref="M74" ca="1">INDEX($A$2:$A$101, RANDBETWEEN(1,100),0)</f>
        <v>B</v>
      </c>
      <c r="O74" t="str" cm="1">
        <f t="array" aca="1" ref="O74" ca="1">INDEX($B$2:$B$101, RANDBETWEEN(1,100),0)</f>
        <v>Feral World</v>
      </c>
      <c r="P74" t="str" cm="1">
        <f t="array" aca="1" ref="P74" ca="1">INDEX($C$2:$C$21, RANDBETWEEN(1,20),0)</f>
        <v>Airless</v>
      </c>
      <c r="Q74" t="str" cm="1">
        <f t="array" aca="1" ref="Q74" ca="1">INDEX($D$2:$D$21, RANDBETWEEN(1,20),0)</f>
        <v>Cold</v>
      </c>
      <c r="R74" t="str" cm="1">
        <f t="array" aca="1" ref="R74" ca="1">INDEX($E$2:$E$21, RANDBETWEEN(1,20),0)</f>
        <v>Minimal</v>
      </c>
      <c r="S74" t="str" cm="1">
        <f t="array" aca="1" ref="S74" ca="1">INDEX($F$2:$F$21, RANDBETWEEN(1,20),0)</f>
        <v>Densely Populated</v>
      </c>
      <c r="T74" t="str" cm="1">
        <f t="array" aca="1" ref="T74" ca="1">INDEX($G$2:$G$21, RANDBETWEEN(1,20),0)</f>
        <v>High</v>
      </c>
      <c r="U74" t="str" cm="1">
        <f t="array" aca="1" ref="U74" ca="1">INDEX($H$2:$H$31, RANDBETWEEN(1,30),0)</f>
        <v>Xenos Overlords</v>
      </c>
      <c r="V74" t="str" cm="1">
        <f t="array" aca="1" ref="V74" ca="1">INDEX($I$2:$I$101, RANDBETWEEN(1,100),0)</f>
        <v>Desert World</v>
      </c>
      <c r="W74" t="str" cm="1">
        <f t="array" aca="1" ref="W74" ca="1">INDEX($I$2:$I$101, RANDBETWEEN(1,100),0)</f>
        <v>Local Tech</v>
      </c>
      <c r="X74" t="str" cm="1">
        <f t="array" aca="1" ref="X74" ca="1">INDEX($I$2:$I$101, RANDBETWEEN(1,100),0)</f>
        <v>Warp Phenomena</v>
      </c>
    </row>
    <row r="75" spans="1:24" x14ac:dyDescent="0.25">
      <c r="A75" t="s">
        <v>35</v>
      </c>
      <c r="B75" t="s">
        <v>22</v>
      </c>
      <c r="I75" t="s">
        <v>99</v>
      </c>
      <c r="J75" t="s">
        <v>158</v>
      </c>
      <c r="K75">
        <f t="shared" ca="1" si="7"/>
        <v>4</v>
      </c>
      <c r="L75" s="2">
        <f t="shared" ca="1" si="8"/>
        <v>3.870967741935484</v>
      </c>
      <c r="M75" t="str" cm="1">
        <f t="array" aca="1" ref="M75" ca="1">INDEX($A$2:$A$101, RANDBETWEEN(1,100),0)</f>
        <v>G</v>
      </c>
      <c r="O75" t="str" cm="1">
        <f t="array" aca="1" ref="O75" ca="1">INDEX($B$2:$B$101, RANDBETWEEN(1,100),0)</f>
        <v>Hive World</v>
      </c>
      <c r="P75" t="str" cm="1">
        <f t="array" aca="1" ref="P75" ca="1">INDEX($C$2:$C$21, RANDBETWEEN(1,20),0)</f>
        <v>Thin</v>
      </c>
      <c r="Q75" t="str" cm="1">
        <f t="array" aca="1" ref="Q75" ca="1">INDEX($D$2:$D$21, RANDBETWEEN(1,20),0)</f>
        <v>Temperate</v>
      </c>
      <c r="R75" t="str" cm="1">
        <f t="array" aca="1" ref="R75" ca="1">INDEX($E$2:$E$21, RANDBETWEEN(1,20),0)</f>
        <v>Xeno Hybrid</v>
      </c>
      <c r="S75" t="str" cm="1">
        <f t="array" aca="1" ref="S75" ca="1">INDEX($F$2:$F$21, RANDBETWEEN(1,20),0)</f>
        <v>Densely Populated</v>
      </c>
      <c r="T75" t="str" cm="1">
        <f t="array" aca="1" ref="T75" ca="1">INDEX($G$2:$G$21, RANDBETWEEN(1,20),0)</f>
        <v>Primitive</v>
      </c>
      <c r="U75" t="str" cm="1">
        <f t="array" aca="1" ref="U75" ca="1">INDEX($H$2:$H$31, RANDBETWEEN(1,30),0)</f>
        <v>Corrupt Aristocrats</v>
      </c>
      <c r="V75" t="str" cm="1">
        <f t="array" aca="1" ref="V75" ca="1">INDEX($I$2:$I$101, RANDBETWEEN(1,100),0)</f>
        <v>Xeno Ruins</v>
      </c>
      <c r="W75" t="str" cm="1">
        <f t="array" aca="1" ref="W75" ca="1">INDEX($I$2:$I$101, RANDBETWEEN(1,100),0)</f>
        <v>Prosperous</v>
      </c>
      <c r="X75" t="str" cm="1">
        <f t="array" aca="1" ref="X75" ca="1">INDEX($I$2:$I$101, RANDBETWEEN(1,100),0)</f>
        <v>Xenophobes</v>
      </c>
    </row>
    <row r="76" spans="1:24" x14ac:dyDescent="0.25">
      <c r="A76" t="s">
        <v>38</v>
      </c>
      <c r="B76" t="s">
        <v>22</v>
      </c>
      <c r="I76" t="s">
        <v>72</v>
      </c>
      <c r="J76" t="s">
        <v>171</v>
      </c>
      <c r="K76">
        <f t="shared" ca="1" si="7"/>
        <v>4</v>
      </c>
      <c r="L76" s="2">
        <f t="shared" ca="1" si="8"/>
        <v>1.4457831325301205</v>
      </c>
      <c r="M76" t="str" cm="1">
        <f t="array" aca="1" ref="M76" ca="1">INDEX($A$2:$A$101, RANDBETWEEN(1,100),0)</f>
        <v>M</v>
      </c>
      <c r="O76" t="str" cm="1">
        <f t="array" aca="1" ref="O76" ca="1">INDEX($B$2:$B$101, RANDBETWEEN(1,100),0)</f>
        <v>Agri-World</v>
      </c>
      <c r="P76" t="str" cm="1">
        <f t="array" aca="1" ref="P76" ca="1">INDEX($C$2:$C$21, RANDBETWEEN(1,20),0)</f>
        <v>Thin</v>
      </c>
      <c r="Q76" t="str" cm="1">
        <f t="array" aca="1" ref="Q76" ca="1">INDEX($D$2:$D$21, RANDBETWEEN(1,20),0)</f>
        <v>Freezing</v>
      </c>
      <c r="R76" t="str" cm="1">
        <f t="array" aca="1" ref="R76" ca="1">INDEX($E$2:$E$21, RANDBETWEEN(1,20),0)</f>
        <v>Minimal</v>
      </c>
      <c r="S76" t="str" cm="1">
        <f t="array" aca="1" ref="S76" ca="1">INDEX($F$2:$F$21, RANDBETWEEN(1,20),0)</f>
        <v>Sole Settlement</v>
      </c>
      <c r="T76" t="str" cm="1">
        <f t="array" aca="1" ref="T76" ca="1">INDEX($G$2:$G$21, RANDBETWEEN(1,20),0)</f>
        <v>Standard</v>
      </c>
      <c r="U76" t="str" cm="1">
        <f t="array" aca="1" ref="U76" ca="1">INDEX($H$2:$H$31, RANDBETWEEN(1,30),0)</f>
        <v>Ecclesiarchical Appointee</v>
      </c>
      <c r="V76" t="str" cm="1">
        <f t="array" aca="1" ref="V76" ca="1">INDEX($I$2:$I$101, RANDBETWEEN(1,100),0)</f>
        <v>Local Specialty</v>
      </c>
      <c r="W76" t="str" cm="1">
        <f t="array" aca="1" ref="W76" ca="1">INDEX($I$2:$I$101, RANDBETWEEN(1,100),0)</f>
        <v>Hostile Biosphere</v>
      </c>
      <c r="X76" t="str" cm="1">
        <f t="array" aca="1" ref="X76" ca="1">INDEX($I$2:$I$101, RANDBETWEEN(1,100),0)</f>
        <v>Prosperous</v>
      </c>
    </row>
    <row r="77" spans="1:24" x14ac:dyDescent="0.25">
      <c r="A77" t="s">
        <v>38</v>
      </c>
      <c r="B77" t="s">
        <v>22</v>
      </c>
      <c r="I77" t="s">
        <v>100</v>
      </c>
      <c r="J77" t="s">
        <v>61</v>
      </c>
      <c r="K77">
        <f t="shared" ca="1" si="7"/>
        <v>1</v>
      </c>
      <c r="L77" s="2">
        <f t="shared" ca="1" si="8"/>
        <v>2.4489795918367347</v>
      </c>
      <c r="M77" t="str" cm="1">
        <f t="array" aca="1" ref="M77" ca="1">INDEX($A$2:$A$101, RANDBETWEEN(1,100),0)</f>
        <v>G</v>
      </c>
      <c r="O77" t="str" cm="1">
        <f t="array" aca="1" ref="O77" ca="1">INDEX($B$2:$B$101, RANDBETWEEN(1,100),0)</f>
        <v>Extractive Colony</v>
      </c>
      <c r="P77" t="str" cm="1">
        <f t="array" aca="1" ref="P77" ca="1">INDEX($C$2:$C$21, RANDBETWEEN(1,20),0)</f>
        <v>Tainted</v>
      </c>
      <c r="Q77" t="str" cm="1">
        <f t="array" aca="1" ref="Q77" ca="1">INDEX($D$2:$D$21, RANDBETWEEN(1,20),0)</f>
        <v>Temperate</v>
      </c>
      <c r="R77" t="str" cm="1">
        <f t="array" aca="1" ref="R77" ca="1">INDEX($E$2:$E$21, RANDBETWEEN(1,20),0)</f>
        <v>Thriving</v>
      </c>
      <c r="S77" t="str" cm="1">
        <f t="array" aca="1" ref="S77" ca="1">INDEX($F$2:$F$21, RANDBETWEEN(1,20),0)</f>
        <v>Minimal</v>
      </c>
      <c r="T77" t="str" cm="1">
        <f t="array" aca="1" ref="T77" ca="1">INDEX($G$2:$G$21, RANDBETWEEN(1,20),0)</f>
        <v>Primitive</v>
      </c>
      <c r="U77" t="str" cm="1">
        <f t="array" aca="1" ref="U77" ca="1">INDEX($H$2:$H$31, RANDBETWEEN(1,30),0)</f>
        <v>Xenos Overlords</v>
      </c>
      <c r="V77" t="str" cm="1">
        <f t="array" aca="1" ref="V77" ca="1">INDEX($I$2:$I$101, RANDBETWEEN(1,100),0)</f>
        <v>Notable Local</v>
      </c>
      <c r="W77" t="str" cm="1">
        <f t="array" aca="1" ref="W77" ca="1">INDEX($I$2:$I$101, RANDBETWEEN(1,100),0)</f>
        <v>Sectarians</v>
      </c>
      <c r="X77" t="str" cm="1">
        <f t="array" aca="1" ref="X77" ca="1">INDEX($I$2:$I$101, RANDBETWEEN(1,100),0)</f>
        <v>Eugenic Cult</v>
      </c>
    </row>
    <row r="78" spans="1:24" x14ac:dyDescent="0.25">
      <c r="A78" t="s">
        <v>38</v>
      </c>
      <c r="B78" t="s">
        <v>181</v>
      </c>
      <c r="I78" t="s">
        <v>138</v>
      </c>
      <c r="J78" t="s">
        <v>151</v>
      </c>
      <c r="K78">
        <f t="shared" ca="1" si="7"/>
        <v>2</v>
      </c>
      <c r="L78" s="2">
        <f t="shared" ca="1" si="8"/>
        <v>5.7142857142857144</v>
      </c>
      <c r="M78" t="str" cm="1">
        <f t="array" aca="1" ref="M78" ca="1">INDEX($A$2:$A$101, RANDBETWEEN(1,100),0)</f>
        <v>M</v>
      </c>
      <c r="O78" t="str" cm="1">
        <f t="array" aca="1" ref="O78" ca="1">INDEX($B$2:$B$101, RANDBETWEEN(1,100),0)</f>
        <v>Frontier World</v>
      </c>
      <c r="P78" t="str" cm="1">
        <f t="array" aca="1" ref="P78" ca="1">INDEX($C$2:$C$21, RANDBETWEEN(1,20),0)</f>
        <v>Tainted</v>
      </c>
      <c r="Q78" t="str" cm="1">
        <f t="array" aca="1" ref="Q78" ca="1">INDEX($D$2:$D$21, RANDBETWEEN(1,20),0)</f>
        <v>Hot</v>
      </c>
      <c r="R78" t="str" cm="1">
        <f t="array" aca="1" ref="R78" ca="1">INDEX($E$2:$E$21, RANDBETWEEN(1,20),0)</f>
        <v>Thriving</v>
      </c>
      <c r="S78" t="str" cm="1">
        <f t="array" aca="1" ref="S78" ca="1">INDEX($F$2:$F$21, RANDBETWEEN(1,20),0)</f>
        <v>Extremely Dense</v>
      </c>
      <c r="T78" t="str" cm="1">
        <f t="array" aca="1" ref="T78" ca="1">INDEX($G$2:$G$21, RANDBETWEEN(1,20),0)</f>
        <v>Standard</v>
      </c>
      <c r="U78" t="str" cm="1">
        <f t="array" aca="1" ref="U78" ca="1">INDEX($H$2:$H$31, RANDBETWEEN(1,30),0)</f>
        <v>Rogue Trader Dynasty</v>
      </c>
      <c r="V78" t="str" cm="1">
        <f t="array" aca="1" ref="V78" ca="1">INDEX($I$2:$I$101, RANDBETWEEN(1,100),0)</f>
        <v>Secret Masters</v>
      </c>
      <c r="W78" t="str" cm="1">
        <f t="array" aca="1" ref="W78" ca="1">INDEX($I$2:$I$101, RANDBETWEEN(1,100),0)</f>
        <v>Prosperous</v>
      </c>
      <c r="X78" t="str" cm="1">
        <f t="array" aca="1" ref="X78" ca="1">INDEX($I$2:$I$101, RANDBETWEEN(1,100),0)</f>
        <v>Nomadic Cities</v>
      </c>
    </row>
    <row r="79" spans="1:24" x14ac:dyDescent="0.25">
      <c r="A79" t="s">
        <v>38</v>
      </c>
      <c r="B79" t="s">
        <v>181</v>
      </c>
      <c r="I79" t="s">
        <v>69</v>
      </c>
      <c r="J79" t="s">
        <v>50</v>
      </c>
      <c r="K79">
        <f t="shared" ca="1" si="7"/>
        <v>5</v>
      </c>
      <c r="L79" s="2">
        <f t="shared" ca="1" si="8"/>
        <v>1.3636363636363635</v>
      </c>
      <c r="M79" t="str" cm="1">
        <f t="array" aca="1" ref="M79" ca="1">INDEX($A$2:$A$101, RANDBETWEEN(1,100),0)</f>
        <v>G</v>
      </c>
      <c r="O79" t="str" cm="1">
        <f t="array" aca="1" ref="O79" ca="1">INDEX($B$2:$B$101, RANDBETWEEN(1,100),0)</f>
        <v>Research Station</v>
      </c>
      <c r="P79" t="str" cm="1">
        <f t="array" aca="1" ref="P79" ca="1">INDEX($C$2:$C$21, RANDBETWEEN(1,20),0)</f>
        <v>Tainted</v>
      </c>
      <c r="Q79" t="str" cm="1">
        <f t="array" aca="1" ref="Q79" ca="1">INDEX($D$2:$D$21, RANDBETWEEN(1,20),0)</f>
        <v>Temperate</v>
      </c>
      <c r="R79" t="str" cm="1">
        <f t="array" aca="1" ref="R79" ca="1">INDEX($E$2:$E$21, RANDBETWEEN(1,20),0)</f>
        <v>Nonexistent</v>
      </c>
      <c r="S79" t="str" cm="1">
        <f t="array" aca="1" ref="S79" ca="1">INDEX($F$2:$F$21, RANDBETWEEN(1,20),0)</f>
        <v>Densely Populated</v>
      </c>
      <c r="T79" t="str" cm="1">
        <f t="array" aca="1" ref="T79" ca="1">INDEX($G$2:$G$21, RANDBETWEEN(1,20),0)</f>
        <v>Standard</v>
      </c>
      <c r="U79" t="str" cm="1">
        <f t="array" aca="1" ref="U79" ca="1">INDEX($H$2:$H$31, RANDBETWEEN(1,30),0)</f>
        <v>None</v>
      </c>
      <c r="V79" t="str" cm="1">
        <f t="array" aca="1" ref="V79" ca="1">INDEX($I$2:$I$101, RANDBETWEEN(1,100),0)</f>
        <v>Abhumans</v>
      </c>
      <c r="W79" t="str" cm="1">
        <f t="array" aca="1" ref="W79" ca="1">INDEX($I$2:$I$101, RANDBETWEEN(1,100),0)</f>
        <v>Seagoing Cities</v>
      </c>
      <c r="X79" t="str" cm="1">
        <f t="array" aca="1" ref="X79" ca="1">INDEX($I$2:$I$101, RANDBETWEEN(1,100),0)</f>
        <v>Major Spaceyard</v>
      </c>
    </row>
    <row r="80" spans="1:24" x14ac:dyDescent="0.25">
      <c r="A80" t="s">
        <v>38</v>
      </c>
      <c r="B80" t="s">
        <v>182</v>
      </c>
      <c r="I80" t="s">
        <v>142</v>
      </c>
      <c r="J80" t="s">
        <v>58</v>
      </c>
      <c r="K80">
        <f t="shared" ca="1" si="7"/>
        <v>2</v>
      </c>
      <c r="L80" s="2">
        <f t="shared" ca="1" si="8"/>
        <v>8.5714285714285712</v>
      </c>
      <c r="M80" t="str" cm="1">
        <f t="array" aca="1" ref="M80" ca="1">INDEX($A$2:$A$101, RANDBETWEEN(1,100),0)</f>
        <v>G</v>
      </c>
      <c r="O80" t="str" cm="1">
        <f t="array" aca="1" ref="O80" ca="1">INDEX($B$2:$B$101, RANDBETWEEN(1,100),0)</f>
        <v>Feudal World</v>
      </c>
      <c r="P80" t="str" cm="1">
        <f t="array" aca="1" ref="P80" ca="1">INDEX($C$2:$C$21, RANDBETWEEN(1,20),0)</f>
        <v>Thin</v>
      </c>
      <c r="Q80" t="str" cm="1">
        <f t="array" aca="1" ref="Q80" ca="1">INDEX($D$2:$D$21, RANDBETWEEN(1,20),0)</f>
        <v>Temperate</v>
      </c>
      <c r="R80" t="str" cm="1">
        <f t="array" aca="1" ref="R80" ca="1">INDEX($E$2:$E$21, RANDBETWEEN(1,20),0)</f>
        <v>Xeno Hybrid</v>
      </c>
      <c r="S80" t="str" cm="1">
        <f t="array" aca="1" ref="S80" ca="1">INDEX($F$2:$F$21, RANDBETWEEN(1,20),0)</f>
        <v>Lightly Populated</v>
      </c>
      <c r="T80" t="str" cm="1">
        <f t="array" aca="1" ref="T80" ca="1">INDEX($G$2:$G$21, RANDBETWEEN(1,20),0)</f>
        <v>Standard</v>
      </c>
      <c r="U80" t="str" cm="1">
        <f t="array" aca="1" ref="U80" ca="1">INDEX($H$2:$H$31, RANDBETWEEN(1,30),0)</f>
        <v>Elitist Tyrant</v>
      </c>
      <c r="V80" t="str" cm="1">
        <f t="array" aca="1" ref="V80" ca="1">INDEX($I$2:$I$101, RANDBETWEEN(1,100),0)</f>
        <v>Naval Outpost</v>
      </c>
      <c r="W80" t="str" cm="1">
        <f t="array" aca="1" ref="W80" ca="1">INDEX($I$2:$I$101, RANDBETWEEN(1,100),0)</f>
        <v>Cold War</v>
      </c>
      <c r="X80" t="str" cm="1">
        <f t="array" aca="1" ref="X80" ca="1">INDEX($I$2:$I$101, RANDBETWEEN(1,100),0)</f>
        <v>Major Spaceyard</v>
      </c>
    </row>
    <row r="81" spans="1:24" x14ac:dyDescent="0.25">
      <c r="A81" t="s">
        <v>38</v>
      </c>
      <c r="B81" t="s">
        <v>27</v>
      </c>
      <c r="I81" t="s">
        <v>136</v>
      </c>
      <c r="J81" t="s">
        <v>67</v>
      </c>
      <c r="K81">
        <f t="shared" ca="1" si="7"/>
        <v>4</v>
      </c>
      <c r="L81" s="2">
        <f t="shared" ca="1" si="8"/>
        <v>2.3529411764705883</v>
      </c>
      <c r="M81" t="str" cm="1">
        <f t="array" aca="1" ref="M81" ca="1">INDEX($A$2:$A$101, RANDBETWEEN(1,100),0)</f>
        <v>F</v>
      </c>
      <c r="O81" t="str" cm="1">
        <f t="array" aca="1" ref="O81" ca="1">INDEX($B$2:$B$101, RANDBETWEEN(1,100),0)</f>
        <v>Frontier World</v>
      </c>
      <c r="P81" t="str" cm="1">
        <f t="array" aca="1" ref="P81" ca="1">INDEX($C$2:$C$21, RANDBETWEEN(1,20),0)</f>
        <v>Breathable</v>
      </c>
      <c r="Q81" t="str" cm="1">
        <f t="array" aca="1" ref="Q81" ca="1">INDEX($D$2:$D$21, RANDBETWEEN(1,20),0)</f>
        <v>Temperate</v>
      </c>
      <c r="R81" t="str" cm="1">
        <f t="array" aca="1" ref="R81" ca="1">INDEX($E$2:$E$21, RANDBETWEEN(1,20),0)</f>
        <v>Xeno Hybrid</v>
      </c>
      <c r="S81" t="str" cm="1">
        <f t="array" aca="1" ref="S81" ca="1">INDEX($F$2:$F$21, RANDBETWEEN(1,20),0)</f>
        <v>Lightly Populated</v>
      </c>
      <c r="T81" t="str" cm="1">
        <f t="array" aca="1" ref="T81" ca="1">INDEX($G$2:$G$21, RANDBETWEEN(1,20),0)</f>
        <v>Standard</v>
      </c>
      <c r="U81" t="str" cm="1">
        <f t="array" aca="1" ref="U81" ca="1">INDEX($H$2:$H$31, RANDBETWEEN(1,30),0)</f>
        <v>Elitist Tyrant</v>
      </c>
      <c r="V81" t="str" cm="1">
        <f t="array" aca="1" ref="V81" ca="1">INDEX($I$2:$I$101, RANDBETWEEN(1,100),0)</f>
        <v>Failed Paradise</v>
      </c>
      <c r="W81" t="str" cm="1">
        <f t="array" aca="1" ref="W81" ca="1">INDEX($I$2:$I$101, RANDBETWEEN(1,100),0)</f>
        <v>Xenophobes</v>
      </c>
      <c r="X81" t="str" cm="1">
        <f t="array" aca="1" ref="X81" ca="1">INDEX($I$2:$I$101, RANDBETWEEN(1,100),0)</f>
        <v>Friendly Xenos</v>
      </c>
    </row>
    <row r="82" spans="1:24" x14ac:dyDescent="0.25">
      <c r="A82" t="s">
        <v>38</v>
      </c>
      <c r="B82" t="s">
        <v>26</v>
      </c>
      <c r="I82" t="s">
        <v>81</v>
      </c>
      <c r="J82" t="s">
        <v>161</v>
      </c>
      <c r="K82">
        <f t="shared" ca="1" si="7"/>
        <v>5</v>
      </c>
      <c r="L82" s="2">
        <f t="shared" ca="1" si="8"/>
        <v>2</v>
      </c>
      <c r="M82" t="str" cm="1">
        <f t="array" aca="1" ref="M82" ca="1">INDEX($A$2:$A$101, RANDBETWEEN(1,100),0)</f>
        <v>G</v>
      </c>
      <c r="O82" t="str" cm="1">
        <f t="array" aca="1" ref="O82" ca="1">INDEX($B$2:$B$101, RANDBETWEEN(1,100),0)</f>
        <v>Frontier World</v>
      </c>
      <c r="P82" t="str" cm="1">
        <f t="array" aca="1" ref="P82" ca="1">INDEX($C$2:$C$21, RANDBETWEEN(1,20),0)</f>
        <v>Breathable</v>
      </c>
      <c r="Q82" t="str" cm="1">
        <f t="array" aca="1" ref="Q82" ca="1">INDEX($D$2:$D$21, RANDBETWEEN(1,20),0)</f>
        <v>Temperate</v>
      </c>
      <c r="R82" t="str" cm="1">
        <f t="array" aca="1" ref="R82" ca="1">INDEX($E$2:$E$21, RANDBETWEEN(1,20),0)</f>
        <v>Xeno Hybrid</v>
      </c>
      <c r="S82" t="str" cm="1">
        <f t="array" aca="1" ref="S82" ca="1">INDEX($F$2:$F$21, RANDBETWEEN(1,20),0)</f>
        <v>Minimal</v>
      </c>
      <c r="T82" t="str" cm="1">
        <f t="array" aca="1" ref="T82" ca="1">INDEX($G$2:$G$21, RANDBETWEEN(1,20),0)</f>
        <v>High</v>
      </c>
      <c r="U82" t="str" cm="1">
        <f t="array" aca="1" ref="U82" ca="1">INDEX($H$2:$H$31, RANDBETWEEN(1,30),0)</f>
        <v>Populist Tyrant</v>
      </c>
      <c r="V82" t="str" cm="1">
        <f t="array" aca="1" ref="V82" ca="1">INDEX($I$2:$I$101, RANDBETWEEN(1,100),0)</f>
        <v>Subsector Hegemon</v>
      </c>
      <c r="W82" t="str" cm="1">
        <f t="array" aca="1" ref="W82" ca="1">INDEX($I$2:$I$101, RANDBETWEEN(1,100),0)</f>
        <v>Xeno Ruins</v>
      </c>
      <c r="X82" t="str" cm="1">
        <f t="array" aca="1" ref="X82" ca="1">INDEX($I$2:$I$101, RANDBETWEEN(1,100),0)</f>
        <v>Trade Hub</v>
      </c>
    </row>
    <row r="83" spans="1:24" x14ac:dyDescent="0.25">
      <c r="A83" t="s">
        <v>38</v>
      </c>
      <c r="B83" t="s">
        <v>183</v>
      </c>
      <c r="I83" t="s">
        <v>134</v>
      </c>
      <c r="J83" t="s">
        <v>162</v>
      </c>
      <c r="K83">
        <f t="shared" ca="1" si="7"/>
        <v>5</v>
      </c>
      <c r="L83" s="2">
        <f t="shared" ca="1" si="8"/>
        <v>1.1428571428571428</v>
      </c>
      <c r="M83" t="str" cm="1">
        <f t="array" aca="1" ref="M83" ca="1">INDEX($A$2:$A$101, RANDBETWEEN(1,100),0)</f>
        <v>G</v>
      </c>
      <c r="O83" t="str" cm="1">
        <f t="array" aca="1" ref="O83" ca="1">INDEX($B$2:$B$101, RANDBETWEEN(1,100),0)</f>
        <v>Frontier World</v>
      </c>
      <c r="P83" t="str" cm="1">
        <f t="array" aca="1" ref="P83" ca="1">INDEX($C$2:$C$21, RANDBETWEEN(1,20),0)</f>
        <v>Breathable</v>
      </c>
      <c r="Q83" t="str" cm="1">
        <f t="array" aca="1" ref="Q83" ca="1">INDEX($D$2:$D$21, RANDBETWEEN(1,20),0)</f>
        <v>Hot</v>
      </c>
      <c r="R83" t="str" cm="1">
        <f t="array" aca="1" ref="R83" ca="1">INDEX($E$2:$E$21, RANDBETWEEN(1,20),0)</f>
        <v>Poisoned</v>
      </c>
      <c r="S83" t="str" cm="1">
        <f t="array" aca="1" ref="S83" ca="1">INDEX($F$2:$F$21, RANDBETWEEN(1,20),0)</f>
        <v>Minimal</v>
      </c>
      <c r="T83" t="str" cm="1">
        <f t="array" aca="1" ref="T83" ca="1">INDEX($G$2:$G$21, RANDBETWEEN(1,20),0)</f>
        <v>Standard</v>
      </c>
      <c r="U83" t="str" cm="1">
        <f t="array" aca="1" ref="U83" ca="1">INDEX($H$2:$H$31, RANDBETWEEN(1,30),0)</f>
        <v>Warrior Aristocracy</v>
      </c>
      <c r="V83" t="str" cm="1">
        <f t="array" aca="1" ref="V83" ca="1">INDEX($I$2:$I$101, RANDBETWEEN(1,100),0)</f>
        <v>Powerful Criminals</v>
      </c>
      <c r="W83" t="str" cm="1">
        <f t="array" aca="1" ref="W83" ca="1">INDEX($I$2:$I$101, RANDBETWEEN(1,100),0)</f>
        <v>Major Spaceyard</v>
      </c>
      <c r="X83" t="str" cm="1">
        <f t="array" aca="1" ref="X83" ca="1">INDEX($I$2:$I$101, RANDBETWEEN(1,100),0)</f>
        <v>Failed Paradise</v>
      </c>
    </row>
    <row r="84" spans="1:24" x14ac:dyDescent="0.25">
      <c r="A84" t="s">
        <v>38</v>
      </c>
      <c r="B84" t="s">
        <v>183</v>
      </c>
      <c r="I84" t="s">
        <v>133</v>
      </c>
      <c r="J84" t="s">
        <v>163</v>
      </c>
      <c r="K84">
        <f t="shared" ca="1" si="7"/>
        <v>3</v>
      </c>
      <c r="L84" s="2">
        <f t="shared" ca="1" si="8"/>
        <v>1.1538461538461537</v>
      </c>
      <c r="M84" t="str" cm="1">
        <f t="array" aca="1" ref="M84" ca="1">INDEX($A$2:$A$101, RANDBETWEEN(1,100),0)</f>
        <v>M</v>
      </c>
      <c r="O84" t="str" cm="1">
        <f t="array" aca="1" ref="O84" ca="1">INDEX($B$2:$B$101, RANDBETWEEN(1,100),0)</f>
        <v>Industrial World</v>
      </c>
      <c r="P84" t="str" cm="1">
        <f t="array" aca="1" ref="P84" ca="1">INDEX($C$2:$C$21, RANDBETWEEN(1,20),0)</f>
        <v>Tainted</v>
      </c>
      <c r="Q84" t="str" cm="1">
        <f t="array" aca="1" ref="Q84" ca="1">INDEX($D$2:$D$21, RANDBETWEEN(1,20),0)</f>
        <v>Cold</v>
      </c>
      <c r="R84" t="str" cm="1">
        <f t="array" aca="1" ref="R84" ca="1">INDEX($E$2:$E$21, RANDBETWEEN(1,20),0)</f>
        <v>Xeno Dominance</v>
      </c>
      <c r="S84" t="str" cm="1">
        <f t="array" aca="1" ref="S84" ca="1">INDEX($F$2:$F$21, RANDBETWEEN(1,20),0)</f>
        <v>Extremely Dense</v>
      </c>
      <c r="T84" t="str" cm="1">
        <f t="array" aca="1" ref="T84" ca="1">INDEX($G$2:$G$21, RANDBETWEEN(1,20),0)</f>
        <v>High</v>
      </c>
      <c r="U84" t="str" cm="1">
        <f t="array" aca="1" ref="U84" ca="1">INDEX($H$2:$H$31, RANDBETWEEN(1,30),0)</f>
        <v>Demagogue</v>
      </c>
      <c r="V84" t="str" cm="1">
        <f t="array" aca="1" ref="V84" ca="1">INDEX($I$2:$I$101, RANDBETWEEN(1,100),0)</f>
        <v>Dangerous Wildlife</v>
      </c>
      <c r="W84" t="str" cm="1">
        <f t="array" aca="1" ref="W84" ca="1">INDEX($I$2:$I$101, RANDBETWEEN(1,100),0)</f>
        <v>Psyker Academy</v>
      </c>
      <c r="X84" t="str" cm="1">
        <f t="array" aca="1" ref="X84" ca="1">INDEX($I$2:$I$101, RANDBETWEEN(1,100),0)</f>
        <v>Crumbling Arcologies</v>
      </c>
    </row>
    <row r="85" spans="1:24" x14ac:dyDescent="0.25">
      <c r="A85" t="s">
        <v>38</v>
      </c>
      <c r="B85" t="s">
        <v>183</v>
      </c>
      <c r="I85" t="s">
        <v>57</v>
      </c>
      <c r="J85" t="s">
        <v>192</v>
      </c>
      <c r="K85">
        <f t="shared" ca="1" si="7"/>
        <v>6</v>
      </c>
      <c r="L85" s="2">
        <f t="shared" ca="1" si="8"/>
        <v>2.2641509433962264</v>
      </c>
      <c r="M85" t="str" cm="1">
        <f t="array" aca="1" ref="M85" ca="1">INDEX($A$2:$A$101, RANDBETWEEN(1,100),0)</f>
        <v>K</v>
      </c>
      <c r="O85" t="str" cm="1">
        <f t="array" aca="1" ref="O85" ca="1">INDEX($B$2:$B$101, RANDBETWEEN(1,100),0)</f>
        <v>Extractive Colony</v>
      </c>
      <c r="P85" t="str" cm="1">
        <f t="array" aca="1" ref="P85" ca="1">INDEX($C$2:$C$21, RANDBETWEEN(1,20),0)</f>
        <v>Breathable</v>
      </c>
      <c r="Q85" t="str" cm="1">
        <f t="array" aca="1" ref="Q85" ca="1">INDEX($D$2:$D$21, RANDBETWEEN(1,20),0)</f>
        <v>Temperate</v>
      </c>
      <c r="R85" t="str" cm="1">
        <f t="array" aca="1" ref="R85" ca="1">INDEX($E$2:$E$21, RANDBETWEEN(1,20),0)</f>
        <v>Nonexistent</v>
      </c>
      <c r="S85" t="str" cm="1">
        <f t="array" aca="1" ref="S85" ca="1">INDEX($F$2:$F$21, RANDBETWEEN(1,20),0)</f>
        <v>Densely Populated</v>
      </c>
      <c r="T85" t="str" cm="1">
        <f t="array" aca="1" ref="T85" ca="1">INDEX($G$2:$G$21, RANDBETWEEN(1,20),0)</f>
        <v>Low</v>
      </c>
      <c r="U85" t="str" cm="1">
        <f t="array" aca="1" ref="U85" ca="1">INDEX($H$2:$H$31, RANDBETWEEN(1,30),0)</f>
        <v>Local Religious Authorities</v>
      </c>
      <c r="V85" t="str" cm="1">
        <f t="array" aca="1" ref="V85" ca="1">INDEX($I$2:$I$101, RANDBETWEEN(1,100),0)</f>
        <v>Flying Cities</v>
      </c>
      <c r="W85" t="str" cm="1">
        <f t="array" aca="1" ref="W85" ca="1">INDEX($I$2:$I$101, RANDBETWEEN(1,100),0)</f>
        <v>Pilgrimage Site</v>
      </c>
      <c r="X85" t="str" cm="1">
        <f t="array" aca="1" ref="X85" ca="1">INDEX($I$2:$I$101, RANDBETWEEN(1,100),0)</f>
        <v>Zombies</v>
      </c>
    </row>
    <row r="86" spans="1:24" x14ac:dyDescent="0.25">
      <c r="A86" t="s">
        <v>38</v>
      </c>
      <c r="B86" t="s">
        <v>21</v>
      </c>
      <c r="I86" t="s">
        <v>85</v>
      </c>
      <c r="J86" t="s">
        <v>203</v>
      </c>
      <c r="K86">
        <f t="shared" ca="1" si="7"/>
        <v>4</v>
      </c>
      <c r="L86" s="2">
        <f t="shared" ca="1" si="8"/>
        <v>2.4</v>
      </c>
      <c r="M86" t="str" cm="1">
        <f t="array" aca="1" ref="M86" ca="1">INDEX($A$2:$A$101, RANDBETWEEN(1,100),0)</f>
        <v>M</v>
      </c>
      <c r="O86" t="str" cm="1">
        <f t="array" aca="1" ref="O86" ca="1">INDEX($B$2:$B$101, RANDBETWEEN(1,100),0)</f>
        <v>Industrial World</v>
      </c>
      <c r="P86" t="str" cm="1">
        <f t="array" aca="1" ref="P86" ca="1">INDEX($C$2:$C$21, RANDBETWEEN(1,20),0)</f>
        <v>Airless</v>
      </c>
      <c r="Q86" t="str" cm="1">
        <f t="array" aca="1" ref="Q86" ca="1">INDEX($D$2:$D$21, RANDBETWEEN(1,20),0)</f>
        <v>Hot</v>
      </c>
      <c r="R86" t="str" cm="1">
        <f t="array" aca="1" ref="R86" ca="1">INDEX($E$2:$E$21, RANDBETWEEN(1,20),0)</f>
        <v>Nonexistent</v>
      </c>
      <c r="S86" t="str" cm="1">
        <f t="array" aca="1" ref="S86" ca="1">INDEX($F$2:$F$21, RANDBETWEEN(1,20),0)</f>
        <v>Densely Populated</v>
      </c>
      <c r="T86" t="str" cm="1">
        <f t="array" aca="1" ref="T86" ca="1">INDEX($G$2:$G$21, RANDBETWEEN(1,20),0)</f>
        <v>Low</v>
      </c>
      <c r="U86" t="str" cm="1">
        <f t="array" aca="1" ref="U86" ca="1">INDEX($H$2:$H$31, RANDBETWEEN(1,30),0)</f>
        <v>Warrior Aristocracy</v>
      </c>
      <c r="V86" t="str" cm="1">
        <f t="array" aca="1" ref="V86" ca="1">INDEX($I$2:$I$101, RANDBETWEEN(1,100),0)</f>
        <v>Mutant Hordes</v>
      </c>
      <c r="W86" t="str" cm="1">
        <f t="array" aca="1" ref="W86" ca="1">INDEX($I$2:$I$101, RANDBETWEEN(1,100),0)</f>
        <v>Mutant Hordes</v>
      </c>
      <c r="X86" t="str" cm="1">
        <f t="array" aca="1" ref="X86" ca="1">INDEX($I$2:$I$101, RANDBETWEEN(1,100),0)</f>
        <v>Pocket Empire</v>
      </c>
    </row>
    <row r="87" spans="1:24" x14ac:dyDescent="0.25">
      <c r="A87" t="s">
        <v>38</v>
      </c>
      <c r="B87" t="s">
        <v>21</v>
      </c>
      <c r="I87" t="s">
        <v>108</v>
      </c>
      <c r="J87" t="s">
        <v>157</v>
      </c>
      <c r="K87">
        <f t="shared" ca="1" si="7"/>
        <v>9</v>
      </c>
      <c r="L87" s="2">
        <f t="shared" ca="1" si="8"/>
        <v>3.3333333333333335</v>
      </c>
      <c r="M87" t="str" cm="1">
        <f t="array" aca="1" ref="M87" ca="1">INDEX($A$2:$A$101, RANDBETWEEN(1,100),0)</f>
        <v>F</v>
      </c>
      <c r="O87" t="str" cm="1">
        <f t="array" aca="1" ref="O87" ca="1">INDEX($B$2:$B$101, RANDBETWEEN(1,100),0)</f>
        <v>Forge World</v>
      </c>
      <c r="P87" t="str" cm="1">
        <f t="array" aca="1" ref="P87" ca="1">INDEX($C$2:$C$21, RANDBETWEEN(1,20),0)</f>
        <v>Breathable</v>
      </c>
      <c r="Q87" t="str" cm="1">
        <f t="array" aca="1" ref="Q87" ca="1">INDEX($D$2:$D$21, RANDBETWEEN(1,20),0)</f>
        <v>Temperate</v>
      </c>
      <c r="R87" t="str" cm="1">
        <f t="array" aca="1" ref="R87" ca="1">INDEX($E$2:$E$21, RANDBETWEEN(1,20),0)</f>
        <v>Nonexistent</v>
      </c>
      <c r="S87" t="str" cm="1">
        <f t="array" aca="1" ref="S87" ca="1">INDEX($F$2:$F$21, RANDBETWEEN(1,20),0)</f>
        <v>Densely Populated</v>
      </c>
      <c r="T87" t="str" cm="1">
        <f t="array" aca="1" ref="T87" ca="1">INDEX($G$2:$G$21, RANDBETWEEN(1,20),0)</f>
        <v>Low</v>
      </c>
      <c r="U87" t="str" cm="1">
        <f t="array" aca="1" ref="U87" ca="1">INDEX($H$2:$H$31, RANDBETWEEN(1,30),0)</f>
        <v>Xenos Overlords</v>
      </c>
      <c r="V87" t="str" cm="1">
        <f t="array" aca="1" ref="V87" ca="1">INDEX($I$2:$I$101, RANDBETWEEN(1,100),0)</f>
        <v>Heavy Industry</v>
      </c>
      <c r="W87" t="str" cm="1">
        <f t="array" aca="1" ref="W87" ca="1">INDEX($I$2:$I$101, RANDBETWEEN(1,100),0)</f>
        <v>Pandemic</v>
      </c>
      <c r="X87" t="str" cm="1">
        <f t="array" aca="1" ref="X87" ca="1">INDEX($I$2:$I$101, RANDBETWEEN(1,100),0)</f>
        <v>Hostile Biosphere</v>
      </c>
    </row>
    <row r="88" spans="1:24" x14ac:dyDescent="0.25">
      <c r="A88" t="s">
        <v>38</v>
      </c>
      <c r="B88" t="s">
        <v>21</v>
      </c>
      <c r="I88" t="s">
        <v>137</v>
      </c>
      <c r="J88" t="s">
        <v>60</v>
      </c>
      <c r="K88">
        <f t="shared" ca="1" si="7"/>
        <v>6</v>
      </c>
      <c r="L88" s="2">
        <f t="shared" ca="1" si="8"/>
        <v>2.7906976744186047</v>
      </c>
      <c r="M88" t="str" cm="1">
        <f t="array" aca="1" ref="M88" ca="1">INDEX($A$2:$A$101, RANDBETWEEN(1,100),0)</f>
        <v>A</v>
      </c>
      <c r="O88" t="str" cm="1">
        <f t="array" aca="1" ref="O88" ca="1">INDEX($B$2:$B$101, RANDBETWEEN(1,100),0)</f>
        <v>Death World</v>
      </c>
      <c r="P88" t="str" cm="1">
        <f t="array" aca="1" ref="P88" ca="1">INDEX($C$2:$C$21, RANDBETWEEN(1,20),0)</f>
        <v>Corrosive</v>
      </c>
      <c r="Q88" t="str" cm="1">
        <f t="array" aca="1" ref="Q88" ca="1">INDEX($D$2:$D$21, RANDBETWEEN(1,20),0)</f>
        <v>Cold</v>
      </c>
      <c r="R88" t="str" cm="1">
        <f t="array" aca="1" ref="R88" ca="1">INDEX($E$2:$E$21, RANDBETWEEN(1,20),0)</f>
        <v>Xeno Hybrid</v>
      </c>
      <c r="S88" t="str" cm="1">
        <f t="array" aca="1" ref="S88" ca="1">INDEX($F$2:$F$21, RANDBETWEEN(1,20),0)</f>
        <v>Densely Populated</v>
      </c>
      <c r="T88" t="str" cm="1">
        <f t="array" aca="1" ref="T88" ca="1">INDEX($G$2:$G$21, RANDBETWEEN(1,20),0)</f>
        <v>Low</v>
      </c>
      <c r="U88" t="str" cm="1">
        <f t="array" aca="1" ref="U88" ca="1">INDEX($H$2:$H$31, RANDBETWEEN(1,30),0)</f>
        <v>Mechanicus Forge-Lord</v>
      </c>
      <c r="V88" t="str" cm="1">
        <f t="array" aca="1" ref="V88" ca="1">INDEX($I$2:$I$101, RANDBETWEEN(1,100),0)</f>
        <v>Quarantined</v>
      </c>
      <c r="W88" t="str" cm="1">
        <f t="array" aca="1" ref="W88" ca="1">INDEX($I$2:$I$101, RANDBETWEEN(1,100),0)</f>
        <v>Radioactive</v>
      </c>
      <c r="X88" t="str" cm="1">
        <f t="array" aca="1" ref="X88" ca="1">INDEX($I$2:$I$101, RANDBETWEEN(1,100),0)</f>
        <v>Seagoing Cities</v>
      </c>
    </row>
    <row r="89" spans="1:24" x14ac:dyDescent="0.25">
      <c r="A89" t="s">
        <v>38</v>
      </c>
      <c r="B89" t="s">
        <v>21</v>
      </c>
      <c r="I89" t="s">
        <v>80</v>
      </c>
      <c r="J89" t="s">
        <v>154</v>
      </c>
      <c r="K89">
        <f t="shared" ca="1" si="7"/>
        <v>4</v>
      </c>
      <c r="L89" s="2">
        <f t="shared" ca="1" si="8"/>
        <v>1.3043478260869565</v>
      </c>
      <c r="M89" t="str" cm="1">
        <f t="array" aca="1" ref="M89" ca="1">INDEX($A$2:$A$101, RANDBETWEEN(1,100),0)</f>
        <v>G</v>
      </c>
      <c r="O89" t="str" cm="1">
        <f t="array" aca="1" ref="O89" ca="1">INDEX($B$2:$B$101, RANDBETWEEN(1,100),0)</f>
        <v>Feral World</v>
      </c>
      <c r="P89" t="str" cm="1">
        <f t="array" aca="1" ref="P89" ca="1">INDEX($C$2:$C$21, RANDBETWEEN(1,20),0)</f>
        <v>Airless</v>
      </c>
      <c r="Q89" t="str" cm="1">
        <f t="array" aca="1" ref="Q89" ca="1">INDEX($D$2:$D$21, RANDBETWEEN(1,20),0)</f>
        <v>Temperate</v>
      </c>
      <c r="R89" t="str" cm="1">
        <f t="array" aca="1" ref="R89" ca="1">INDEX($E$2:$E$21, RANDBETWEEN(1,20),0)</f>
        <v>Thriving</v>
      </c>
      <c r="S89" t="str" cm="1">
        <f t="array" aca="1" ref="S89" ca="1">INDEX($F$2:$F$21, RANDBETWEEN(1,20),0)</f>
        <v>Lightly Populated</v>
      </c>
      <c r="T89" t="str" cm="1">
        <f t="array" aca="1" ref="T89" ca="1">INDEX($G$2:$G$21, RANDBETWEEN(1,20),0)</f>
        <v>Standard</v>
      </c>
      <c r="U89" t="str" cm="1">
        <f t="array" aca="1" ref="U89" ca="1">INDEX($H$2:$H$31, RANDBETWEEN(1,30),0)</f>
        <v>Demagogue</v>
      </c>
      <c r="V89" t="str" cm="1">
        <f t="array" aca="1" ref="V89" ca="1">INDEX($I$2:$I$101, RANDBETWEEN(1,100),0)</f>
        <v>Foreign Control</v>
      </c>
      <c r="W89" t="str" cm="1">
        <f t="array" aca="1" ref="W89" ca="1">INDEX($I$2:$I$101, RANDBETWEEN(1,100),0)</f>
        <v>Local Tech</v>
      </c>
      <c r="X89" t="str" cm="1">
        <f t="array" aca="1" ref="X89" ca="1">INDEX($I$2:$I$101, RANDBETWEEN(1,100),0)</f>
        <v>Sole Suppliers</v>
      </c>
    </row>
    <row r="90" spans="1:24" x14ac:dyDescent="0.25">
      <c r="A90" t="s">
        <v>38</v>
      </c>
      <c r="B90" t="s">
        <v>21</v>
      </c>
      <c r="I90" t="s">
        <v>119</v>
      </c>
      <c r="L90" s="2">
        <f t="shared" ca="1" si="8"/>
        <v>1.2765957446808511</v>
      </c>
      <c r="M90" t="str" cm="1">
        <f t="array" aca="1" ref="M90" ca="1">INDEX($A$2:$A$101, RANDBETWEEN(1,100),0)</f>
        <v>M</v>
      </c>
      <c r="O90" t="str" cm="1">
        <f t="array" aca="1" ref="O90" ca="1">INDEX($B$2:$B$101, RANDBETWEEN(1,100),0)</f>
        <v>Shrine World</v>
      </c>
      <c r="P90" t="str" cm="1">
        <f t="array" aca="1" ref="P90" ca="1">INDEX($C$2:$C$21, RANDBETWEEN(1,20),0)</f>
        <v>Thin</v>
      </c>
      <c r="Q90" t="str" cm="1">
        <f t="array" aca="1" ref="Q90" ca="1">INDEX($D$2:$D$21, RANDBETWEEN(1,20),0)</f>
        <v>Temperate</v>
      </c>
      <c r="R90" t="str" cm="1">
        <f t="array" aca="1" ref="R90" ca="1">INDEX($E$2:$E$21, RANDBETWEEN(1,20),0)</f>
        <v>Xeno Hybrid</v>
      </c>
      <c r="S90" t="str" cm="1">
        <f t="array" aca="1" ref="S90" ca="1">INDEX($F$2:$F$21, RANDBETWEEN(1,20),0)</f>
        <v>Extremely Dense</v>
      </c>
      <c r="T90" t="str" cm="1">
        <f t="array" aca="1" ref="T90" ca="1">INDEX($G$2:$G$21, RANDBETWEEN(1,20),0)</f>
        <v>High</v>
      </c>
      <c r="U90" t="str" cm="1">
        <f t="array" aca="1" ref="U90" ca="1">INDEX($H$2:$H$31, RANDBETWEEN(1,30),0)</f>
        <v>Rogue Trader Dynasty</v>
      </c>
      <c r="V90" t="str" cm="1">
        <f t="array" aca="1" ref="V90" ca="1">INDEX($I$2:$I$101, RANDBETWEEN(1,100),0)</f>
        <v>Heavy Industry</v>
      </c>
      <c r="W90" t="str" cm="1">
        <f t="array" aca="1" ref="W90" ca="1">INDEX($I$2:$I$101, RANDBETWEEN(1,100),0)</f>
        <v>Sealed Menace</v>
      </c>
      <c r="X90" t="str" cm="1">
        <f t="array" aca="1" ref="X90" ca="1">INDEX($I$2:$I$101, RANDBETWEEN(1,100),0)</f>
        <v>Archaeotech Ruins</v>
      </c>
    </row>
    <row r="91" spans="1:24" x14ac:dyDescent="0.25">
      <c r="A91" t="s">
        <v>38</v>
      </c>
      <c r="B91" t="s">
        <v>21</v>
      </c>
      <c r="I91" t="s">
        <v>186</v>
      </c>
      <c r="J91" t="s">
        <v>93</v>
      </c>
      <c r="K91">
        <f ca="1">COUNTIF($V$1:$X$121,J91)</f>
        <v>5</v>
      </c>
      <c r="L91" s="2">
        <f t="shared" ca="1" si="8"/>
        <v>2.4</v>
      </c>
      <c r="M91" t="str" cm="1">
        <f t="array" aca="1" ref="M91" ca="1">INDEX($A$2:$A$101, RANDBETWEEN(1,100),0)</f>
        <v>K</v>
      </c>
      <c r="O91" t="str" cm="1">
        <f t="array" aca="1" ref="O91" ca="1">INDEX($B$2:$B$101, RANDBETWEEN(1,100),0)</f>
        <v>Frontier World</v>
      </c>
      <c r="P91" t="str" cm="1">
        <f t="array" aca="1" ref="P91" ca="1">INDEX($C$2:$C$21, RANDBETWEEN(1,20),0)</f>
        <v>Breathable</v>
      </c>
      <c r="Q91" t="str" cm="1">
        <f t="array" aca="1" ref="Q91" ca="1">INDEX($D$2:$D$21, RANDBETWEEN(1,20),0)</f>
        <v>Cold</v>
      </c>
      <c r="R91" t="str" cm="1">
        <f t="array" aca="1" ref="R91" ca="1">INDEX($E$2:$E$21, RANDBETWEEN(1,20),0)</f>
        <v>Minimal</v>
      </c>
      <c r="S91" t="str" cm="1">
        <f t="array" aca="1" ref="S91" ca="1">INDEX($F$2:$F$21, RANDBETWEEN(1,20),0)</f>
        <v>Densely Populated</v>
      </c>
      <c r="T91" t="str" cm="1">
        <f t="array" aca="1" ref="T91" ca="1">INDEX($G$2:$G$21, RANDBETWEEN(1,20),0)</f>
        <v>High</v>
      </c>
      <c r="U91" t="str" cm="1">
        <f t="array" aca="1" ref="U91" ca="1">INDEX($H$2:$H$31, RANDBETWEEN(1,30),0)</f>
        <v>Rogue Trader Dynasty</v>
      </c>
      <c r="V91" t="str" cm="1">
        <f t="array" aca="1" ref="V91" ca="1">INDEX($I$2:$I$101, RANDBETWEEN(1,100),0)</f>
        <v>Altered Humans</v>
      </c>
      <c r="W91" t="str" cm="1">
        <f t="array" aca="1" ref="W91" ca="1">INDEX($I$2:$I$101, RANDBETWEEN(1,100),0)</f>
        <v>Primitive Xenos</v>
      </c>
      <c r="X91" t="str" cm="1">
        <f t="array" aca="1" ref="X91" ca="1">INDEX($I$2:$I$101, RANDBETWEEN(1,100),0)</f>
        <v>Nomadic Cities</v>
      </c>
    </row>
    <row r="92" spans="1:24" x14ac:dyDescent="0.25">
      <c r="A92" t="s">
        <v>38</v>
      </c>
      <c r="B92" t="s">
        <v>21</v>
      </c>
      <c r="I92" t="s">
        <v>185</v>
      </c>
      <c r="J92" t="s">
        <v>88</v>
      </c>
      <c r="K92">
        <f t="shared" ref="K92:K155" ca="1" si="9">COUNTIF($V$1:$X$121,J92)</f>
        <v>5</v>
      </c>
      <c r="L92" s="2">
        <f t="shared" ca="1" si="8"/>
        <v>2.3529411764705883</v>
      </c>
      <c r="M92" t="str" cm="1">
        <f t="array" aca="1" ref="M92" ca="1">INDEX($A$2:$A$101, RANDBETWEEN(1,100),0)</f>
        <v>G</v>
      </c>
      <c r="O92" t="str" cm="1">
        <f t="array" aca="1" ref="O92" ca="1">INDEX($B$2:$B$101, RANDBETWEEN(1,100),0)</f>
        <v>Frontier World</v>
      </c>
      <c r="P92" t="str" cm="1">
        <f t="array" aca="1" ref="P92" ca="1">INDEX($C$2:$C$21, RANDBETWEEN(1,20),0)</f>
        <v>Breathable</v>
      </c>
      <c r="Q92" t="str" cm="1">
        <f t="array" aca="1" ref="Q92" ca="1">INDEX($D$2:$D$21, RANDBETWEEN(1,20),0)</f>
        <v>Temperate</v>
      </c>
      <c r="R92" t="str" cm="1">
        <f t="array" aca="1" ref="R92" ca="1">INDEX($E$2:$E$21, RANDBETWEEN(1,20),0)</f>
        <v>Poisoned</v>
      </c>
      <c r="S92" t="str" cm="1">
        <f t="array" aca="1" ref="S92" ca="1">INDEX($F$2:$F$21, RANDBETWEEN(1,20),0)</f>
        <v>Lightly Populated</v>
      </c>
      <c r="T92" t="str" cm="1">
        <f t="array" aca="1" ref="T92" ca="1">INDEX($G$2:$G$21, RANDBETWEEN(1,20),0)</f>
        <v>Xeno Hybrid</v>
      </c>
      <c r="U92" t="str" cm="1">
        <f t="array" aca="1" ref="U92" ca="1">INDEX($H$2:$H$31, RANDBETWEEN(1,30),0)</f>
        <v>Warlords</v>
      </c>
      <c r="V92" t="str" cm="1">
        <f t="array" aca="1" ref="V92" ca="1">INDEX($I$2:$I$101, RANDBETWEEN(1,100),0)</f>
        <v>Foreign Control</v>
      </c>
      <c r="W92" t="str" cm="1">
        <f t="array" aca="1" ref="W92" ca="1">INDEX($I$2:$I$101, RANDBETWEEN(1,100),0)</f>
        <v>Hereteks</v>
      </c>
      <c r="X92" t="str" cm="1">
        <f t="array" aca="1" ref="X92" ca="1">INDEX($I$2:$I$101, RANDBETWEEN(1,100),0)</f>
        <v>Deviant Religion</v>
      </c>
    </row>
    <row r="93" spans="1:24" x14ac:dyDescent="0.25">
      <c r="A93" t="s">
        <v>38</v>
      </c>
      <c r="B93" t="s">
        <v>21</v>
      </c>
      <c r="I93" t="s">
        <v>175</v>
      </c>
      <c r="J93" t="s">
        <v>83</v>
      </c>
      <c r="K93">
        <f t="shared" ca="1" si="9"/>
        <v>4</v>
      </c>
      <c r="L93" s="2">
        <f t="shared" ca="1" si="8"/>
        <v>1.263157894736842</v>
      </c>
      <c r="M93" t="str" cm="1">
        <f t="array" aca="1" ref="M93" ca="1">INDEX($A$2:$A$101, RANDBETWEEN(1,100),0)</f>
        <v>M</v>
      </c>
      <c r="O93" t="str" cm="1">
        <f t="array" aca="1" ref="O93" ca="1">INDEX($B$2:$B$101, RANDBETWEEN(1,100),0)</f>
        <v>Orbital</v>
      </c>
      <c r="P93" t="str" cm="1">
        <f t="array" aca="1" ref="P93" ca="1">INDEX($C$2:$C$21, RANDBETWEEN(1,20),0)</f>
        <v>Breathable</v>
      </c>
      <c r="Q93" t="str" cm="1">
        <f t="array" aca="1" ref="Q93" ca="1">INDEX($D$2:$D$21, RANDBETWEEN(1,20),0)</f>
        <v>Cold</v>
      </c>
      <c r="R93" t="str" cm="1">
        <f t="array" aca="1" ref="R93" ca="1">INDEX($E$2:$E$21, RANDBETWEEN(1,20),0)</f>
        <v>Thriving</v>
      </c>
      <c r="S93" t="str" cm="1">
        <f t="array" aca="1" ref="S93" ca="1">INDEX($F$2:$F$21, RANDBETWEEN(1,20),0)</f>
        <v>Lightly Populated</v>
      </c>
      <c r="T93" t="str" cm="1">
        <f t="array" aca="1" ref="T93" ca="1">INDEX($G$2:$G$21, RANDBETWEEN(1,20),0)</f>
        <v>Xeno Hybrid</v>
      </c>
      <c r="U93" t="str" cm="1">
        <f t="array" aca="1" ref="U93" ca="1">INDEX($H$2:$H$31, RANDBETWEEN(1,30),0)</f>
        <v>Elitist Tyrant</v>
      </c>
      <c r="V93" t="str" cm="1">
        <f t="array" aca="1" ref="V93" ca="1">INDEX($I$2:$I$101, RANDBETWEEN(1,100),0)</f>
        <v>Factional Fragmentation</v>
      </c>
      <c r="W93" t="str" cm="1">
        <f t="array" aca="1" ref="W93" ca="1">INDEX($I$2:$I$101, RANDBETWEEN(1,100),0)</f>
        <v>Missionaries</v>
      </c>
      <c r="X93" t="str" cm="1">
        <f t="array" aca="1" ref="X93" ca="1">INDEX($I$2:$I$101, RANDBETWEEN(1,100),0)</f>
        <v>Sectarians</v>
      </c>
    </row>
    <row r="94" spans="1:24" x14ac:dyDescent="0.25">
      <c r="A94" t="s">
        <v>38</v>
      </c>
      <c r="B94" t="s">
        <v>24</v>
      </c>
      <c r="I94" t="s">
        <v>29</v>
      </c>
      <c r="J94" t="s">
        <v>107</v>
      </c>
      <c r="K94">
        <f t="shared" ca="1" si="9"/>
        <v>3</v>
      </c>
      <c r="L94" s="2">
        <f t="shared" ca="1" si="8"/>
        <v>3.0769230769230771</v>
      </c>
      <c r="M94" t="str" cm="1">
        <f t="array" aca="1" ref="M94" ca="1">INDEX($A$2:$A$101, RANDBETWEEN(1,100),0)</f>
        <v>M</v>
      </c>
      <c r="O94" t="str" cm="1">
        <f t="array" aca="1" ref="O94" ca="1">INDEX($B$2:$B$101, RANDBETWEEN(1,100),0)</f>
        <v>Frontier World</v>
      </c>
      <c r="P94" t="str" cm="1">
        <f t="array" aca="1" ref="P94" ca="1">INDEX($C$2:$C$21, RANDBETWEEN(1,20),0)</f>
        <v>Airless</v>
      </c>
      <c r="Q94" t="str" cm="1">
        <f t="array" aca="1" ref="Q94" ca="1">INDEX($D$2:$D$21, RANDBETWEEN(1,20),0)</f>
        <v>Cold</v>
      </c>
      <c r="R94" t="str" cm="1">
        <f t="array" aca="1" ref="R94" ca="1">INDEX($E$2:$E$21, RANDBETWEEN(1,20),0)</f>
        <v>Minimal</v>
      </c>
      <c r="S94" t="str" cm="1">
        <f t="array" aca="1" ref="S94" ca="1">INDEX($F$2:$F$21, RANDBETWEEN(1,20),0)</f>
        <v>Densely Populated</v>
      </c>
      <c r="T94" t="str" cm="1">
        <f t="array" aca="1" ref="T94" ca="1">INDEX($G$2:$G$21, RANDBETWEEN(1,20),0)</f>
        <v>Low</v>
      </c>
      <c r="U94" t="str" cm="1">
        <f t="array" aca="1" ref="U94" ca="1">INDEX($H$2:$H$31, RANDBETWEEN(1,30),0)</f>
        <v>Warlords</v>
      </c>
      <c r="V94" t="str" cm="1">
        <f t="array" aca="1" ref="V94" ca="1">INDEX($I$2:$I$101, RANDBETWEEN(1,100),0)</f>
        <v>Missionaries</v>
      </c>
      <c r="W94" t="str" cm="1">
        <f t="array" aca="1" ref="W94" ca="1">INDEX($I$2:$I$101, RANDBETWEEN(1,100),0)</f>
        <v>Sealed Menace</v>
      </c>
      <c r="X94" t="str" cm="1">
        <f t="array" aca="1" ref="X94" ca="1">INDEX($I$2:$I$101, RANDBETWEEN(1,100),0)</f>
        <v>Gold Rush</v>
      </c>
    </row>
    <row r="95" spans="1:24" x14ac:dyDescent="0.25">
      <c r="A95" t="s">
        <v>38</v>
      </c>
      <c r="B95" t="s">
        <v>24</v>
      </c>
      <c r="I95" t="s">
        <v>122</v>
      </c>
      <c r="J95" t="s">
        <v>82</v>
      </c>
      <c r="K95">
        <f t="shared" ca="1" si="9"/>
        <v>7</v>
      </c>
      <c r="L95" s="2">
        <f t="shared" ca="1" si="8"/>
        <v>1</v>
      </c>
      <c r="M95" t="str" cm="1">
        <f t="array" aca="1" ref="M95" ca="1">INDEX($A$2:$A$101, RANDBETWEEN(1,100),0)</f>
        <v>K</v>
      </c>
      <c r="O95" t="str" cm="1">
        <f t="array" aca="1" ref="O95" ca="1">INDEX($B$2:$B$101, RANDBETWEEN(1,100),0)</f>
        <v>Feral World</v>
      </c>
      <c r="P95" t="str" cm="1">
        <f t="array" aca="1" ref="P95" ca="1">INDEX($C$2:$C$21, RANDBETWEEN(1,20),0)</f>
        <v>Corrosive</v>
      </c>
      <c r="Q95" t="str" cm="1">
        <f t="array" aca="1" ref="Q95" ca="1">INDEX($D$2:$D$21, RANDBETWEEN(1,20),0)</f>
        <v>Temperate</v>
      </c>
      <c r="R95" t="str" cm="1">
        <f t="array" aca="1" ref="R95" ca="1">INDEX($E$2:$E$21, RANDBETWEEN(1,20),0)</f>
        <v>Minimal</v>
      </c>
      <c r="S95" t="str" cm="1">
        <f t="array" aca="1" ref="S95" ca="1">INDEX($F$2:$F$21, RANDBETWEEN(1,20),0)</f>
        <v>Uninhabited</v>
      </c>
      <c r="T95" t="str" cm="1">
        <f t="array" aca="1" ref="T95" ca="1">INDEX($G$2:$G$21, RANDBETWEEN(1,20),0)</f>
        <v>High</v>
      </c>
      <c r="U95" t="str" cm="1">
        <f t="array" aca="1" ref="U95" ca="1">INDEX($H$2:$H$31, RANDBETWEEN(1,30),0)</f>
        <v>Warrior Aristocracy</v>
      </c>
      <c r="V95" t="str" cm="1">
        <f t="array" aca="1" ref="V95" ca="1">INDEX($I$2:$I$101, RANDBETWEEN(1,100),0)</f>
        <v>Tech-Priest Cult</v>
      </c>
      <c r="W95" t="str" cm="1">
        <f t="array" aca="1" ref="W95" ca="1">INDEX($I$2:$I$101, RANDBETWEEN(1,100),0)</f>
        <v>Mass Panic</v>
      </c>
      <c r="X95" t="str" cm="1">
        <f t="array" aca="1" ref="X95" ca="1">INDEX($I$2:$I$101, RANDBETWEEN(1,100),0)</f>
        <v>Warp Phenomena</v>
      </c>
    </row>
    <row r="96" spans="1:24" x14ac:dyDescent="0.25">
      <c r="A96" t="s">
        <v>38</v>
      </c>
      <c r="B96" t="s">
        <v>24</v>
      </c>
      <c r="I96" t="s">
        <v>96</v>
      </c>
      <c r="J96" t="s">
        <v>187</v>
      </c>
      <c r="K96">
        <f t="shared" ca="1" si="9"/>
        <v>0</v>
      </c>
      <c r="L96" s="2">
        <f t="shared" ca="1" si="8"/>
        <v>1.7647058823529411</v>
      </c>
      <c r="M96" t="str" cm="1">
        <f t="array" aca="1" ref="M96" ca="1">INDEX($A$2:$A$101, RANDBETWEEN(1,100),0)</f>
        <v>B</v>
      </c>
      <c r="O96" t="str" cm="1">
        <f t="array" aca="1" ref="O96" ca="1">INDEX($B$2:$B$101, RANDBETWEEN(1,100),0)</f>
        <v>Extractive Colony</v>
      </c>
      <c r="P96" t="str" cm="1">
        <f t="array" aca="1" ref="P96" ca="1">INDEX($C$2:$C$21, RANDBETWEEN(1,20),0)</f>
        <v>Breathable</v>
      </c>
      <c r="Q96" t="str" cm="1">
        <f t="array" aca="1" ref="Q96" ca="1">INDEX($D$2:$D$21, RANDBETWEEN(1,20),0)</f>
        <v>Hot</v>
      </c>
      <c r="R96" t="str" cm="1">
        <f t="array" aca="1" ref="R96" ca="1">INDEX($E$2:$E$21, RANDBETWEEN(1,20),0)</f>
        <v>Poisoned</v>
      </c>
      <c r="S96" t="str" cm="1">
        <f t="array" aca="1" ref="S96" ca="1">INDEX($F$2:$F$21, RANDBETWEEN(1,20),0)</f>
        <v>Uninhabited</v>
      </c>
      <c r="T96" t="str" cm="1">
        <f t="array" aca="1" ref="T96" ca="1">INDEX($G$2:$G$21, RANDBETWEEN(1,20),0)</f>
        <v>Standard</v>
      </c>
      <c r="U96" t="str" cm="1">
        <f t="array" aca="1" ref="U96" ca="1">INDEX($H$2:$H$31, RANDBETWEEN(1,30),0)</f>
        <v>Puppet Government</v>
      </c>
      <c r="V96" t="str" cm="1">
        <f t="array" aca="1" ref="V96" ca="1">INDEX($I$2:$I$101, RANDBETWEEN(1,100),0)</f>
        <v>Ancient Tombs</v>
      </c>
      <c r="W96" t="str" cm="1">
        <f t="array" aca="1" ref="W96" ca="1">INDEX($I$2:$I$101, RANDBETWEEN(1,100),0)</f>
        <v>Radioactive</v>
      </c>
      <c r="X96" t="str" cm="1">
        <f t="array" aca="1" ref="X96" ca="1">INDEX($I$2:$I$101, RANDBETWEEN(1,100),0)</f>
        <v>Freak Weather</v>
      </c>
    </row>
    <row r="97" spans="1:24" x14ac:dyDescent="0.25">
      <c r="A97" t="s">
        <v>38</v>
      </c>
      <c r="B97" t="s">
        <v>197</v>
      </c>
      <c r="I97" t="s">
        <v>95</v>
      </c>
      <c r="J97" t="s">
        <v>194</v>
      </c>
      <c r="K97">
        <f t="shared" ca="1" si="9"/>
        <v>3</v>
      </c>
      <c r="L97" s="2">
        <f t="shared" ca="1" si="8"/>
        <v>1.3953488372093024</v>
      </c>
      <c r="M97" t="str" cm="1">
        <f t="array" aca="1" ref="M97" ca="1">INDEX($A$2:$A$101, RANDBETWEEN(1,100),0)</f>
        <v>K</v>
      </c>
      <c r="O97" t="str" cm="1">
        <f t="array" aca="1" ref="O97" ca="1">INDEX($B$2:$B$101, RANDBETWEEN(1,100),0)</f>
        <v>Bastion World</v>
      </c>
      <c r="P97" t="str" cm="1">
        <f t="array" aca="1" ref="P97" ca="1">INDEX($C$2:$C$21, RANDBETWEEN(1,20),0)</f>
        <v>Airless</v>
      </c>
      <c r="Q97" t="str" cm="1">
        <f t="array" aca="1" ref="Q97" ca="1">INDEX($D$2:$D$21, RANDBETWEEN(1,20),0)</f>
        <v>Cold</v>
      </c>
      <c r="R97" t="str" cm="1">
        <f t="array" aca="1" ref="R97" ca="1">INDEX($E$2:$E$21, RANDBETWEEN(1,20),0)</f>
        <v>Thriving</v>
      </c>
      <c r="S97" t="str" cm="1">
        <f t="array" aca="1" ref="S97" ca="1">INDEX($F$2:$F$21, RANDBETWEEN(1,20),0)</f>
        <v>Lightly Populated</v>
      </c>
      <c r="T97" t="str" cm="1">
        <f t="array" aca="1" ref="T97" ca="1">INDEX($G$2:$G$21, RANDBETWEEN(1,20),0)</f>
        <v>Standard</v>
      </c>
      <c r="U97" t="str" cm="1">
        <f t="array" aca="1" ref="U97" ca="1">INDEX($H$2:$H$31, RANDBETWEEN(1,30),0)</f>
        <v>Mechanicus Forge-Lord</v>
      </c>
      <c r="V97" t="str" cm="1">
        <f t="array" aca="1" ref="V97" ca="1">INDEX($I$2:$I$101, RANDBETWEEN(1,100),0)</f>
        <v>Vast Fortresses</v>
      </c>
      <c r="W97" t="str" cm="1">
        <f t="array" aca="1" ref="W97" ca="1">INDEX($I$2:$I$101, RANDBETWEEN(1,100),0)</f>
        <v>Extreme Environment</v>
      </c>
      <c r="X97" t="str" cm="1">
        <f t="array" aca="1" ref="X97" ca="1">INDEX($I$2:$I$101, RANDBETWEEN(1,100),0)</f>
        <v>Important Shrine</v>
      </c>
    </row>
    <row r="98" spans="1:24" x14ac:dyDescent="0.25">
      <c r="A98" t="s">
        <v>38</v>
      </c>
      <c r="B98" t="s">
        <v>184</v>
      </c>
      <c r="I98" t="s">
        <v>73</v>
      </c>
      <c r="J98" t="s">
        <v>140</v>
      </c>
      <c r="K98">
        <f t="shared" ca="1" si="9"/>
        <v>2</v>
      </c>
      <c r="L98" s="2">
        <f t="shared" ca="1" si="8"/>
        <v>2.1052631578947367</v>
      </c>
      <c r="M98" t="str" cm="1">
        <f t="array" aca="1" ref="M98" ca="1">INDEX($A$2:$A$101, RANDBETWEEN(1,100),0)</f>
        <v>K</v>
      </c>
      <c r="O98" t="str" cm="1">
        <f t="array" aca="1" ref="O98" ca="1">INDEX($B$2:$B$101, RANDBETWEEN(1,100),0)</f>
        <v>Feudal World</v>
      </c>
      <c r="P98" t="str" cm="1">
        <f t="array" aca="1" ref="P98" ca="1">INDEX($C$2:$C$21, RANDBETWEEN(1,20),0)</f>
        <v>Tainted</v>
      </c>
      <c r="Q98" t="str" cm="1">
        <f t="array" aca="1" ref="Q98" ca="1">INDEX($D$2:$D$21, RANDBETWEEN(1,20),0)</f>
        <v>Temperate</v>
      </c>
      <c r="R98" t="str" cm="1">
        <f t="array" aca="1" ref="R98" ca="1">INDEX($E$2:$E$21, RANDBETWEEN(1,20),0)</f>
        <v>Minimal</v>
      </c>
      <c r="S98" t="str" cm="1">
        <f t="array" aca="1" ref="S98" ca="1">INDEX($F$2:$F$21, RANDBETWEEN(1,20),0)</f>
        <v>Lightly Populated</v>
      </c>
      <c r="T98" t="str" cm="1">
        <f t="array" aca="1" ref="T98" ca="1">INDEX($G$2:$G$21, RANDBETWEEN(1,20),0)</f>
        <v>Archaeotech</v>
      </c>
      <c r="U98" t="str" cm="1">
        <f t="array" aca="1" ref="U98" ca="1">INDEX($H$2:$H$31, RANDBETWEEN(1,30),0)</f>
        <v>Warlords</v>
      </c>
      <c r="V98" t="str" cm="1">
        <f t="array" aca="1" ref="V98" ca="1">INDEX($I$2:$I$101, RANDBETWEEN(1,100),0)</f>
        <v>Subsector Hegemon</v>
      </c>
      <c r="W98" t="str" cm="1">
        <f t="array" aca="1" ref="W98" ca="1">INDEX($I$2:$I$101, RANDBETWEEN(1,100),0)</f>
        <v>Crumbling Arcologies</v>
      </c>
      <c r="X98" t="str" cm="1">
        <f t="array" aca="1" ref="X98" ca="1">INDEX($I$2:$I$101, RANDBETWEEN(1,100),0)</f>
        <v>Xenos Infiltrators</v>
      </c>
    </row>
    <row r="99" spans="1:24" x14ac:dyDescent="0.25">
      <c r="A99" t="s">
        <v>38</v>
      </c>
      <c r="B99" t="s">
        <v>184</v>
      </c>
      <c r="I99" t="s">
        <v>91</v>
      </c>
      <c r="J99" t="s">
        <v>110</v>
      </c>
      <c r="K99">
        <f t="shared" ca="1" si="9"/>
        <v>1</v>
      </c>
      <c r="L99" s="2">
        <f t="shared" ca="1" si="8"/>
        <v>1.2765957446808511</v>
      </c>
      <c r="M99" t="str" cm="1">
        <f t="array" aca="1" ref="M99" ca="1">INDEX($A$2:$A$101, RANDBETWEEN(1,100),0)</f>
        <v>O</v>
      </c>
      <c r="O99" t="str" cm="1">
        <f t="array" aca="1" ref="O99" ca="1">INDEX($B$2:$B$101, RANDBETWEEN(1,100),0)</f>
        <v>Agri-World</v>
      </c>
      <c r="P99" t="str" cm="1">
        <f t="array" aca="1" ref="P99" ca="1">INDEX($C$2:$C$21, RANDBETWEEN(1,20),0)</f>
        <v>Breathable</v>
      </c>
      <c r="Q99" t="str" cm="1">
        <f t="array" aca="1" ref="Q99" ca="1">INDEX($D$2:$D$21, RANDBETWEEN(1,20),0)</f>
        <v>Cold</v>
      </c>
      <c r="R99" t="str" cm="1">
        <f t="array" aca="1" ref="R99" ca="1">INDEX($E$2:$E$21, RANDBETWEEN(1,20),0)</f>
        <v>Minimal</v>
      </c>
      <c r="S99" t="str" cm="1">
        <f t="array" aca="1" ref="S99" ca="1">INDEX($F$2:$F$21, RANDBETWEEN(1,20),0)</f>
        <v>Extremely Dense</v>
      </c>
      <c r="T99" t="str" cm="1">
        <f t="array" aca="1" ref="T99" ca="1">INDEX($G$2:$G$21, RANDBETWEEN(1,20),0)</f>
        <v>Low</v>
      </c>
      <c r="U99" t="str" cm="1">
        <f t="array" aca="1" ref="U99" ca="1">INDEX($H$2:$H$31, RANDBETWEEN(1,30),0)</f>
        <v>Warlords</v>
      </c>
      <c r="V99" t="str" cm="1">
        <f t="array" aca="1" ref="V99" ca="1">INDEX($I$2:$I$101, RANDBETWEEN(1,100),0)</f>
        <v>Vast Fortresses</v>
      </c>
      <c r="W99" t="str" cm="1">
        <f t="array" aca="1" ref="W99" ca="1">INDEX($I$2:$I$101, RANDBETWEEN(1,100),0)</f>
        <v>Warp Phenomena</v>
      </c>
      <c r="X99" t="str" cm="1">
        <f t="array" aca="1" ref="X99" ca="1">INDEX($I$2:$I$101, RANDBETWEEN(1,100),0)</f>
        <v>Trade Hub</v>
      </c>
    </row>
    <row r="100" spans="1:24" x14ac:dyDescent="0.25">
      <c r="A100" t="s">
        <v>38</v>
      </c>
      <c r="B100" t="s">
        <v>184</v>
      </c>
      <c r="I100" t="s">
        <v>141</v>
      </c>
      <c r="J100" t="s">
        <v>116</v>
      </c>
      <c r="K100">
        <f t="shared" ca="1" si="9"/>
        <v>4</v>
      </c>
      <c r="L100" s="2">
        <f t="shared" ca="1" si="8"/>
        <v>1.3043478260869565</v>
      </c>
      <c r="M100" t="str" cm="1">
        <f t="array" aca="1" ref="M100" ca="1">INDEX($A$2:$A$101, RANDBETWEEN(1,100),0)</f>
        <v>F</v>
      </c>
      <c r="O100" t="str" cm="1">
        <f t="array" aca="1" ref="O100" ca="1">INDEX($B$2:$B$101, RANDBETWEEN(1,100),0)</f>
        <v>Orbital</v>
      </c>
      <c r="P100" t="str" cm="1">
        <f t="array" aca="1" ref="P100" ca="1">INDEX($C$2:$C$21, RANDBETWEEN(1,20),0)</f>
        <v>Airless</v>
      </c>
      <c r="Q100" t="str" cm="1">
        <f t="array" aca="1" ref="Q100" ca="1">INDEX($D$2:$D$21, RANDBETWEEN(1,20),0)</f>
        <v>Temperate</v>
      </c>
      <c r="R100" t="str" cm="1">
        <f t="array" aca="1" ref="R100" ca="1">INDEX($E$2:$E$21, RANDBETWEEN(1,20),0)</f>
        <v>Minimal</v>
      </c>
      <c r="S100" t="str" cm="1">
        <f t="array" aca="1" ref="S100" ca="1">INDEX($F$2:$F$21, RANDBETWEEN(1,20),0)</f>
        <v>Uninhabited</v>
      </c>
      <c r="T100" t="str" cm="1">
        <f t="array" aca="1" ref="T100" ca="1">INDEX($G$2:$G$21, RANDBETWEEN(1,20),0)</f>
        <v>Xeno Hybrid</v>
      </c>
      <c r="U100" t="str" cm="1">
        <f t="array" aca="1" ref="U100" ca="1">INDEX($H$2:$H$31, RANDBETWEEN(1,30),0)</f>
        <v>Clans / Tribes</v>
      </c>
      <c r="V100" t="str" cm="1">
        <f t="array" aca="1" ref="V100" ca="1">INDEX($I$2:$I$101, RANDBETWEEN(1,100),0)</f>
        <v>Xenophiles</v>
      </c>
      <c r="W100" t="str" cm="1">
        <f t="array" aca="1" ref="W100" ca="1">INDEX($I$2:$I$101, RANDBETWEEN(1,100),0)</f>
        <v>Freeport</v>
      </c>
      <c r="X100" t="str" cm="1">
        <f t="array" aca="1" ref="X100" ca="1">INDEX($I$2:$I$101, RANDBETWEEN(1,100),0)</f>
        <v>Hostile Biosphere</v>
      </c>
    </row>
    <row r="101" spans="1:24" x14ac:dyDescent="0.25">
      <c r="A101" t="s">
        <v>38</v>
      </c>
      <c r="B101" t="s">
        <v>199</v>
      </c>
      <c r="I101" t="s">
        <v>109</v>
      </c>
      <c r="J101" t="s">
        <v>188</v>
      </c>
      <c r="K101">
        <f t="shared" ca="1" si="9"/>
        <v>5</v>
      </c>
      <c r="L101" s="2">
        <f t="shared" ca="1" si="8"/>
        <v>3.0769230769230771</v>
      </c>
      <c r="M101" t="str" cm="1">
        <f t="array" aca="1" ref="M101" ca="1">INDEX($A$2:$A$101, RANDBETWEEN(1,100),0)</f>
        <v>M</v>
      </c>
      <c r="O101" t="str" cm="1">
        <f t="array" aca="1" ref="O101" ca="1">INDEX($B$2:$B$101, RANDBETWEEN(1,100),0)</f>
        <v>Frontier World</v>
      </c>
      <c r="P101" t="str" cm="1">
        <f t="array" aca="1" ref="P101" ca="1">INDEX($C$2:$C$21, RANDBETWEEN(1,20),0)</f>
        <v>Breathable</v>
      </c>
      <c r="Q101" t="str" cm="1">
        <f t="array" aca="1" ref="Q101" ca="1">INDEX($D$2:$D$21, RANDBETWEEN(1,20),0)</f>
        <v>Temperate</v>
      </c>
      <c r="R101" t="str" cm="1">
        <f t="array" aca="1" ref="R101" ca="1">INDEX($E$2:$E$21, RANDBETWEEN(1,20),0)</f>
        <v>Thriving</v>
      </c>
      <c r="S101" t="str" cm="1">
        <f t="array" aca="1" ref="S101" ca="1">INDEX($F$2:$F$21, RANDBETWEEN(1,20),0)</f>
        <v>Densely Populated</v>
      </c>
      <c r="T101" t="str" cm="1">
        <f t="array" aca="1" ref="T101" ca="1">INDEX($G$2:$G$21, RANDBETWEEN(1,20),0)</f>
        <v>High</v>
      </c>
      <c r="U101" t="str" cm="1">
        <f t="array" aca="1" ref="U101" ca="1">INDEX($H$2:$H$31, RANDBETWEEN(1,30),0)</f>
        <v>Puppet Government</v>
      </c>
      <c r="V101" t="str" cm="1">
        <f t="array" aca="1" ref="V101" ca="1">INDEX($I$2:$I$101, RANDBETWEEN(1,100),0)</f>
        <v>Secret Masters</v>
      </c>
      <c r="W101" t="str" cm="1">
        <f t="array" aca="1" ref="W101" ca="1">INDEX($I$2:$I$101, RANDBETWEEN(1,100),0)</f>
        <v>Hostile Biosphere</v>
      </c>
      <c r="X101" t="str" cm="1">
        <f t="array" aca="1" ref="X101" ca="1">INDEX($I$2:$I$101, RANDBETWEEN(1,100),0)</f>
        <v>Frozen World</v>
      </c>
    </row>
    <row r="102" spans="1:24" x14ac:dyDescent="0.25">
      <c r="J102" t="s">
        <v>196</v>
      </c>
      <c r="K102">
        <f t="shared" ca="1" si="9"/>
        <v>2</v>
      </c>
      <c r="L102" s="2">
        <f t="shared" ca="1" si="8"/>
        <v>1.1428571428571428</v>
      </c>
      <c r="M102" t="str" cm="1">
        <f t="array" aca="1" ref="M102" ca="1">INDEX($A$2:$A$101, RANDBETWEEN(1,100),0)</f>
        <v>A</v>
      </c>
      <c r="O102" t="str" cm="1">
        <f t="array" aca="1" ref="O102" ca="1">INDEX($B$2:$B$101, RANDBETWEEN(1,100),0)</f>
        <v>Dead World</v>
      </c>
      <c r="P102" t="str" cm="1">
        <f t="array" aca="1" ref="P102" ca="1">INDEX($C$2:$C$21, RANDBETWEEN(1,20),0)</f>
        <v>Breathable</v>
      </c>
      <c r="Q102" t="str" cm="1">
        <f t="array" aca="1" ref="Q102" ca="1">INDEX($D$2:$D$21, RANDBETWEEN(1,20),0)</f>
        <v>Temperate</v>
      </c>
      <c r="R102" t="str" cm="1">
        <f t="array" aca="1" ref="R102" ca="1">INDEX($E$2:$E$21, RANDBETWEEN(1,20),0)</f>
        <v>Xeno Dominance</v>
      </c>
      <c r="S102" t="str" cm="1">
        <f t="array" aca="1" ref="S102" ca="1">INDEX($F$2:$F$21, RANDBETWEEN(1,20),0)</f>
        <v>Densely Populated</v>
      </c>
      <c r="T102" t="str" cm="1">
        <f t="array" aca="1" ref="T102" ca="1">INDEX($G$2:$G$21, RANDBETWEEN(1,20),0)</f>
        <v>Low</v>
      </c>
      <c r="U102" t="str" cm="1">
        <f t="array" aca="1" ref="U102" ca="1">INDEX($H$2:$H$31, RANDBETWEEN(1,30),0)</f>
        <v>Traditional Oligarchy</v>
      </c>
      <c r="V102" t="str" cm="1">
        <f t="array" aca="1" ref="V102" ca="1">INDEX($I$2:$I$101, RANDBETWEEN(1,100),0)</f>
        <v>Zombies</v>
      </c>
      <c r="W102" t="str" cm="1">
        <f t="array" aca="1" ref="W102" ca="1">INDEX($I$2:$I$101, RANDBETWEEN(1,100),0)</f>
        <v>Extreme Environment</v>
      </c>
      <c r="X102" t="str" cm="1">
        <f t="array" aca="1" ref="X102" ca="1">INDEX($I$2:$I$101, RANDBETWEEN(1,100),0)</f>
        <v>Forbidden Tech</v>
      </c>
    </row>
    <row r="103" spans="1:24" x14ac:dyDescent="0.25">
      <c r="J103" t="s">
        <v>126</v>
      </c>
      <c r="K103">
        <f t="shared" ca="1" si="9"/>
        <v>2</v>
      </c>
      <c r="L103" s="2">
        <f t="shared" ca="1" si="8"/>
        <v>1.9672131147540983</v>
      </c>
      <c r="M103" t="str" cm="1">
        <f t="array" aca="1" ref="M103" ca="1">INDEX($A$2:$A$101, RANDBETWEEN(1,100),0)</f>
        <v>B</v>
      </c>
      <c r="O103" t="str" cm="1">
        <f t="array" aca="1" ref="O103" ca="1">INDEX($B$2:$B$101, RANDBETWEEN(1,100),0)</f>
        <v>Death World</v>
      </c>
      <c r="P103" t="str" cm="1">
        <f t="array" aca="1" ref="P103" ca="1">INDEX($C$2:$C$21, RANDBETWEEN(1,20),0)</f>
        <v>Tainted</v>
      </c>
      <c r="Q103" t="str" cm="1">
        <f t="array" aca="1" ref="Q103" ca="1">INDEX($D$2:$D$21, RANDBETWEEN(1,20),0)</f>
        <v>Temperate</v>
      </c>
      <c r="R103" t="str" cm="1">
        <f t="array" aca="1" ref="R103" ca="1">INDEX($E$2:$E$21, RANDBETWEEN(1,20),0)</f>
        <v>Xeno Hybrid</v>
      </c>
      <c r="S103" t="str" cm="1">
        <f t="array" aca="1" ref="S103" ca="1">INDEX($F$2:$F$21, RANDBETWEEN(1,20),0)</f>
        <v>Extremely Dense</v>
      </c>
      <c r="T103" t="str" cm="1">
        <f t="array" aca="1" ref="T103" ca="1">INDEX($G$2:$G$21, RANDBETWEEN(1,20),0)</f>
        <v>Standard</v>
      </c>
      <c r="U103" t="str" cm="1">
        <f t="array" aca="1" ref="U103" ca="1">INDEX($H$2:$H$31, RANDBETWEEN(1,30),0)</f>
        <v>Infractionist Gang</v>
      </c>
      <c r="V103" t="str" cm="1">
        <f t="array" aca="1" ref="V103" ca="1">INDEX($I$2:$I$101, RANDBETWEEN(1,100),0)</f>
        <v>Recently Rediscovered</v>
      </c>
      <c r="W103" t="str" cm="1">
        <f t="array" aca="1" ref="W103" ca="1">INDEX($I$2:$I$101, RANDBETWEEN(1,100),0)</f>
        <v>Celestial Phenomena</v>
      </c>
      <c r="X103" t="str" cm="1">
        <f t="array" aca="1" ref="X103" ca="1">INDEX($I$2:$I$101, RANDBETWEEN(1,100),0)</f>
        <v>Separatists</v>
      </c>
    </row>
    <row r="104" spans="1:24" x14ac:dyDescent="0.25">
      <c r="J104" t="s">
        <v>31</v>
      </c>
      <c r="K104">
        <f t="shared" ca="1" si="9"/>
        <v>6</v>
      </c>
      <c r="L104" s="2">
        <f t="shared" ca="1" si="8"/>
        <v>1.1320754716981132</v>
      </c>
      <c r="M104" t="str" cm="1">
        <f t="array" aca="1" ref="M104" ca="1">INDEX($A$2:$A$101, RANDBETWEEN(1,100),0)</f>
        <v>B</v>
      </c>
      <c r="O104" t="str" cm="1">
        <f t="array" aca="1" ref="O104" ca="1">INDEX($B$2:$B$101, RANDBETWEEN(1,100),0)</f>
        <v>Feudal World</v>
      </c>
      <c r="P104" t="str" cm="1">
        <f t="array" aca="1" ref="P104" ca="1">INDEX($C$2:$C$21, RANDBETWEEN(1,20),0)</f>
        <v>Airless</v>
      </c>
      <c r="Q104" t="str" cm="1">
        <f t="array" aca="1" ref="Q104" ca="1">INDEX($D$2:$D$21, RANDBETWEEN(1,20),0)</f>
        <v>Freezing</v>
      </c>
      <c r="R104" t="str" cm="1">
        <f t="array" aca="1" ref="R104" ca="1">INDEX($E$2:$E$21, RANDBETWEEN(1,20),0)</f>
        <v>Poisoned</v>
      </c>
      <c r="S104" t="str" cm="1">
        <f t="array" aca="1" ref="S104" ca="1">INDEX($F$2:$F$21, RANDBETWEEN(1,20),0)</f>
        <v>Extremely Dense</v>
      </c>
      <c r="T104" t="str" cm="1">
        <f t="array" aca="1" ref="T104" ca="1">INDEX($G$2:$G$21, RANDBETWEEN(1,20),0)</f>
        <v>Standard</v>
      </c>
      <c r="U104" t="str" cm="1">
        <f t="array" aca="1" ref="U104" ca="1">INDEX($H$2:$H$31, RANDBETWEEN(1,30),0)</f>
        <v>Puppet Government</v>
      </c>
      <c r="V104" t="str" cm="1">
        <f t="array" aca="1" ref="V104" ca="1">INDEX($I$2:$I$101, RANDBETWEEN(1,100),0)</f>
        <v>Chaos Cultists</v>
      </c>
      <c r="W104" t="str" cm="1">
        <f t="array" aca="1" ref="W104" ca="1">INDEX($I$2:$I$101, RANDBETWEEN(1,100),0)</f>
        <v>Major Spaceyard</v>
      </c>
      <c r="X104" t="str" cm="1">
        <f t="array" aca="1" ref="X104" ca="1">INDEX($I$2:$I$101, RANDBETWEEN(1,100),0)</f>
        <v>Missionaries</v>
      </c>
    </row>
    <row r="105" spans="1:24" x14ac:dyDescent="0.25">
      <c r="J105" t="s">
        <v>114</v>
      </c>
      <c r="K105">
        <f t="shared" ca="1" si="9"/>
        <v>4</v>
      </c>
      <c r="L105" s="2">
        <f t="shared" ca="1" si="8"/>
        <v>1.0169491525423728</v>
      </c>
      <c r="M105" t="str" cm="1">
        <f t="array" aca="1" ref="M105" ca="1">INDEX($A$2:$A$101, RANDBETWEEN(1,100),0)</f>
        <v>M</v>
      </c>
      <c r="O105" t="str" cm="1">
        <f t="array" aca="1" ref="O105" ca="1">INDEX($B$2:$B$101, RANDBETWEEN(1,100),0)</f>
        <v>Death World</v>
      </c>
      <c r="P105" t="str" cm="1">
        <f t="array" aca="1" ref="P105" ca="1">INDEX($C$2:$C$21, RANDBETWEEN(1,20),0)</f>
        <v>Exotic</v>
      </c>
      <c r="Q105" t="str" cm="1">
        <f t="array" aca="1" ref="Q105" ca="1">INDEX($D$2:$D$21, RANDBETWEEN(1,20),0)</f>
        <v>Hot</v>
      </c>
      <c r="R105" t="str" cm="1">
        <f t="array" aca="1" ref="R105" ca="1">INDEX($E$2:$E$21, RANDBETWEEN(1,20),0)</f>
        <v>Nonexistent</v>
      </c>
      <c r="S105" t="str" cm="1">
        <f t="array" aca="1" ref="S105" ca="1">INDEX($F$2:$F$21, RANDBETWEEN(1,20),0)</f>
        <v>Minimal</v>
      </c>
      <c r="T105" t="str" cm="1">
        <f t="array" aca="1" ref="T105" ca="1">INDEX($G$2:$G$21, RANDBETWEEN(1,20),0)</f>
        <v>High</v>
      </c>
      <c r="U105" t="str" cm="1">
        <f t="array" aca="1" ref="U105" ca="1">INDEX($H$2:$H$31, RANDBETWEEN(1,30),0)</f>
        <v>Elitist Tyrant</v>
      </c>
      <c r="V105" t="str" cm="1">
        <f t="array" aca="1" ref="V105" ca="1">INDEX($I$2:$I$101, RANDBETWEEN(1,100),0)</f>
        <v>Great Work</v>
      </c>
      <c r="W105" t="str" cm="1">
        <f t="array" aca="1" ref="W105" ca="1">INDEX($I$2:$I$101, RANDBETWEEN(1,100),0)</f>
        <v>Xenophobes</v>
      </c>
      <c r="X105" t="str" cm="1">
        <f t="array" aca="1" ref="X105" ca="1">INDEX($I$2:$I$101, RANDBETWEEN(1,100),0)</f>
        <v>Minimal Contact</v>
      </c>
    </row>
    <row r="106" spans="1:24" x14ac:dyDescent="0.25">
      <c r="J106" t="s">
        <v>111</v>
      </c>
      <c r="K106">
        <f t="shared" ca="1" si="9"/>
        <v>5</v>
      </c>
      <c r="L106" s="2">
        <f t="shared" ca="1" si="8"/>
        <v>1.3043478260869565</v>
      </c>
      <c r="M106" t="str" cm="1">
        <f t="array" aca="1" ref="M106" ca="1">INDEX($A$2:$A$101, RANDBETWEEN(1,100),0)</f>
        <v>G</v>
      </c>
      <c r="O106" t="str" cm="1">
        <f t="array" aca="1" ref="O106" ca="1">INDEX($B$2:$B$101, RANDBETWEEN(1,100),0)</f>
        <v>Extractive Colony</v>
      </c>
      <c r="P106" t="str" cm="1">
        <f t="array" aca="1" ref="P106" ca="1">INDEX($C$2:$C$21, RANDBETWEEN(1,20),0)</f>
        <v>Exotic</v>
      </c>
      <c r="Q106" t="str" cm="1">
        <f t="array" aca="1" ref="Q106" ca="1">INDEX($D$2:$D$21, RANDBETWEEN(1,20),0)</f>
        <v>Freezing</v>
      </c>
      <c r="R106" t="str" cm="1">
        <f t="array" aca="1" ref="R106" ca="1">INDEX($E$2:$E$21, RANDBETWEEN(1,20),0)</f>
        <v>Minimal</v>
      </c>
      <c r="S106" t="str" cm="1">
        <f t="array" aca="1" ref="S106" ca="1">INDEX($F$2:$F$21, RANDBETWEEN(1,20),0)</f>
        <v>Densely Populated</v>
      </c>
      <c r="T106" t="str" cm="1">
        <f t="array" aca="1" ref="T106" ca="1">INDEX($G$2:$G$21, RANDBETWEEN(1,20),0)</f>
        <v>Standard</v>
      </c>
      <c r="U106" t="str" cm="1">
        <f t="array" aca="1" ref="U106" ca="1">INDEX($H$2:$H$31, RANDBETWEEN(1,30),0)</f>
        <v>Traditional Oligarchy</v>
      </c>
      <c r="V106" t="str" cm="1">
        <f t="array" aca="1" ref="V106" ca="1">INDEX($I$2:$I$101, RANDBETWEEN(1,100),0)</f>
        <v>Trade Hub</v>
      </c>
      <c r="W106" t="str" cm="1">
        <f t="array" aca="1" ref="W106" ca="1">INDEX($I$2:$I$101, RANDBETWEEN(1,100),0)</f>
        <v>Primitive Xenos</v>
      </c>
      <c r="X106" t="str" cm="1">
        <f t="array" aca="1" ref="X106" ca="1">INDEX($I$2:$I$101, RANDBETWEEN(1,100),0)</f>
        <v>Naval Blockade</v>
      </c>
    </row>
    <row r="107" spans="1:24" x14ac:dyDescent="0.25">
      <c r="J107" t="s">
        <v>129</v>
      </c>
      <c r="K107">
        <f t="shared" ca="1" si="9"/>
        <v>3</v>
      </c>
      <c r="L107" s="2">
        <f t="shared" ca="1" si="8"/>
        <v>1.0526315789473684</v>
      </c>
      <c r="M107" t="str" cm="1">
        <f t="array" aca="1" ref="M107" ca="1">INDEX($A$2:$A$101, RANDBETWEEN(1,100),0)</f>
        <v>K</v>
      </c>
      <c r="O107" t="str" cm="1">
        <f t="array" aca="1" ref="O107" ca="1">INDEX($B$2:$B$101, RANDBETWEEN(1,100),0)</f>
        <v>Penal World</v>
      </c>
      <c r="P107" t="str" cm="1">
        <f t="array" aca="1" ref="P107" ca="1">INDEX($C$2:$C$21, RANDBETWEEN(1,20),0)</f>
        <v>Exotic</v>
      </c>
      <c r="Q107" t="str" cm="1">
        <f t="array" aca="1" ref="Q107" ca="1">INDEX($D$2:$D$21, RANDBETWEEN(1,20),0)</f>
        <v>Temperate</v>
      </c>
      <c r="R107" t="str" cm="1">
        <f t="array" aca="1" ref="R107" ca="1">INDEX($E$2:$E$21, RANDBETWEEN(1,20),0)</f>
        <v>Nonexistent</v>
      </c>
      <c r="S107" t="str" cm="1">
        <f t="array" aca="1" ref="S107" ca="1">INDEX($F$2:$F$21, RANDBETWEEN(1,20),0)</f>
        <v>Uninhabited</v>
      </c>
      <c r="T107" t="str" cm="1">
        <f t="array" aca="1" ref="T107" ca="1">INDEX($G$2:$G$21, RANDBETWEEN(1,20),0)</f>
        <v>Low</v>
      </c>
      <c r="U107" t="str" cm="1">
        <f t="array" aca="1" ref="U107" ca="1">INDEX($H$2:$H$31, RANDBETWEEN(1,30),0)</f>
        <v>Warrior Aristocracy</v>
      </c>
      <c r="V107" t="str" cm="1">
        <f t="array" aca="1" ref="V107" ca="1">INDEX($I$2:$I$101, RANDBETWEEN(1,100),0)</f>
        <v>Ancient Archive</v>
      </c>
      <c r="W107" t="str" cm="1">
        <f t="array" aca="1" ref="W107" ca="1">INDEX($I$2:$I$101, RANDBETWEEN(1,100),0)</f>
        <v>Psyker Cult</v>
      </c>
      <c r="X107" t="str" cm="1">
        <f t="array" aca="1" ref="X107" ca="1">INDEX($I$2:$I$101, RANDBETWEEN(1,100),0)</f>
        <v>Seagoing Cities</v>
      </c>
    </row>
    <row r="108" spans="1:24" x14ac:dyDescent="0.25">
      <c r="J108" t="s">
        <v>145</v>
      </c>
      <c r="K108">
        <f t="shared" ca="1" si="9"/>
        <v>2</v>
      </c>
      <c r="L108" s="2">
        <f t="shared" ca="1" si="8"/>
        <v>2.3076923076923075</v>
      </c>
      <c r="M108" t="str" cm="1">
        <f t="array" aca="1" ref="M108" ca="1">INDEX($A$2:$A$101, RANDBETWEEN(1,100),0)</f>
        <v>A</v>
      </c>
      <c r="O108" t="str" cm="1">
        <f t="array" aca="1" ref="O108" ca="1">INDEX($B$2:$B$101, RANDBETWEEN(1,100),0)</f>
        <v>Shrine World</v>
      </c>
      <c r="P108" t="str" cm="1">
        <f t="array" aca="1" ref="P108" ca="1">INDEX($C$2:$C$21, RANDBETWEEN(1,20),0)</f>
        <v>Exotic</v>
      </c>
      <c r="Q108" t="str" cm="1">
        <f t="array" aca="1" ref="Q108" ca="1">INDEX($D$2:$D$21, RANDBETWEEN(1,20),0)</f>
        <v>Cold</v>
      </c>
      <c r="R108" t="str" cm="1">
        <f t="array" aca="1" ref="R108" ca="1">INDEX($E$2:$E$21, RANDBETWEEN(1,20),0)</f>
        <v>Minimal</v>
      </c>
      <c r="S108" t="str" cm="1">
        <f t="array" aca="1" ref="S108" ca="1">INDEX($F$2:$F$21, RANDBETWEEN(1,20),0)</f>
        <v>Uninhabited</v>
      </c>
      <c r="T108" t="str" cm="1">
        <f t="array" aca="1" ref="T108" ca="1">INDEX($G$2:$G$21, RANDBETWEEN(1,20),0)</f>
        <v>Primitive</v>
      </c>
      <c r="U108" t="str" cm="1">
        <f t="array" aca="1" ref="U108" ca="1">INDEX($H$2:$H$31, RANDBETWEEN(1,30),0)</f>
        <v>Military Governor</v>
      </c>
      <c r="V108" t="str" cm="1">
        <f t="array" aca="1" ref="V108" ca="1">INDEX($I$2:$I$101, RANDBETWEEN(1,100),0)</f>
        <v>Mutant Hordes</v>
      </c>
      <c r="W108" t="str" cm="1">
        <f t="array" aca="1" ref="W108" ca="1">INDEX($I$2:$I$101, RANDBETWEEN(1,100),0)</f>
        <v>Hostile Xenos</v>
      </c>
      <c r="X108" t="str" cm="1">
        <f t="array" aca="1" ref="X108" ca="1">INDEX($I$2:$I$101, RANDBETWEEN(1,100),0)</f>
        <v>Psyker Academy</v>
      </c>
    </row>
    <row r="109" spans="1:24" x14ac:dyDescent="0.25">
      <c r="J109" t="s">
        <v>65</v>
      </c>
      <c r="K109">
        <f t="shared" ca="1" si="9"/>
        <v>4</v>
      </c>
      <c r="L109" s="2">
        <f t="shared" ca="1" si="8"/>
        <v>1.7391304347826086</v>
      </c>
      <c r="M109" t="str" cm="1">
        <f t="array" aca="1" ref="M109" ca="1">INDEX($A$2:$A$101, RANDBETWEEN(1,100),0)</f>
        <v>A</v>
      </c>
      <c r="O109" t="str" cm="1">
        <f t="array" aca="1" ref="O109" ca="1">INDEX($B$2:$B$101, RANDBETWEEN(1,100),0)</f>
        <v>Industrial World</v>
      </c>
      <c r="P109" t="str" cm="1">
        <f t="array" aca="1" ref="P109" ca="1">INDEX($C$2:$C$21, RANDBETWEEN(1,20),0)</f>
        <v>Toxic</v>
      </c>
      <c r="Q109" t="str" cm="1">
        <f t="array" aca="1" ref="Q109" ca="1">INDEX($D$2:$D$21, RANDBETWEEN(1,20),0)</f>
        <v>Temperate</v>
      </c>
      <c r="R109" t="str" cm="1">
        <f t="array" aca="1" ref="R109" ca="1">INDEX($E$2:$E$21, RANDBETWEEN(1,20),0)</f>
        <v>Poisoned</v>
      </c>
      <c r="S109" t="str" cm="1">
        <f t="array" aca="1" ref="S109" ca="1">INDEX($F$2:$F$21, RANDBETWEEN(1,20),0)</f>
        <v>Lightly Populated</v>
      </c>
      <c r="T109" t="str" cm="1">
        <f t="array" aca="1" ref="T109" ca="1">INDEX($G$2:$G$21, RANDBETWEEN(1,20),0)</f>
        <v>High</v>
      </c>
      <c r="U109" t="str" cm="1">
        <f t="array" aca="1" ref="U109" ca="1">INDEX($H$2:$H$31, RANDBETWEEN(1,30),0)</f>
        <v>Balkanized Local Factions</v>
      </c>
      <c r="V109" t="str" cm="1">
        <f t="array" aca="1" ref="V109" ca="1">INDEX($I$2:$I$101, RANDBETWEEN(1,100),0)</f>
        <v>Xenophobes</v>
      </c>
      <c r="W109" t="str" cm="1">
        <f t="array" aca="1" ref="W109" ca="1">INDEX($I$2:$I$101, RANDBETWEEN(1,100),0)</f>
        <v>Missionaries</v>
      </c>
      <c r="X109" t="str" cm="1">
        <f t="array" aca="1" ref="X109" ca="1">INDEX($I$2:$I$101, RANDBETWEEN(1,100),0)</f>
        <v>Witch Hunt</v>
      </c>
    </row>
    <row r="110" spans="1:24" x14ac:dyDescent="0.25">
      <c r="J110" t="s">
        <v>92</v>
      </c>
      <c r="K110">
        <f t="shared" ca="1" si="9"/>
        <v>6</v>
      </c>
      <c r="L110" s="2">
        <f t="shared" ca="1" si="8"/>
        <v>2.5531914893617023</v>
      </c>
      <c r="M110" t="str" cm="1">
        <f t="array" aca="1" ref="M110" ca="1">INDEX($A$2:$A$101, RANDBETWEEN(1,100),0)</f>
        <v>K</v>
      </c>
      <c r="O110" t="str" cm="1">
        <f t="array" aca="1" ref="O110" ca="1">INDEX($B$2:$B$101, RANDBETWEEN(1,100),0)</f>
        <v>Frontier World</v>
      </c>
      <c r="P110" t="str" cm="1">
        <f t="array" aca="1" ref="P110" ca="1">INDEX($C$2:$C$21, RANDBETWEEN(1,20),0)</f>
        <v>Tainted</v>
      </c>
      <c r="Q110" t="str" cm="1">
        <f t="array" aca="1" ref="Q110" ca="1">INDEX($D$2:$D$21, RANDBETWEEN(1,20),0)</f>
        <v>Hot</v>
      </c>
      <c r="R110" t="str" cm="1">
        <f t="array" aca="1" ref="R110" ca="1">INDEX($E$2:$E$21, RANDBETWEEN(1,20),0)</f>
        <v>Minimal</v>
      </c>
      <c r="S110" t="str" cm="1">
        <f t="array" aca="1" ref="S110" ca="1">INDEX($F$2:$F$21, RANDBETWEEN(1,20),0)</f>
        <v>Sole Settlement</v>
      </c>
      <c r="T110" t="str" cm="1">
        <f t="array" aca="1" ref="T110" ca="1">INDEX($G$2:$G$21, RANDBETWEEN(1,20),0)</f>
        <v>High</v>
      </c>
      <c r="U110" t="str" cm="1">
        <f t="array" aca="1" ref="U110" ca="1">INDEX($H$2:$H$31, RANDBETWEEN(1,30),0)</f>
        <v>Local Religious Authorities</v>
      </c>
      <c r="V110" t="str" cm="1">
        <f t="array" aca="1" ref="V110" ca="1">INDEX($I$2:$I$101, RANDBETWEEN(1,100),0)</f>
        <v>Freeport</v>
      </c>
      <c r="W110" t="str" cm="1">
        <f t="array" aca="1" ref="W110" ca="1">INDEX($I$2:$I$101, RANDBETWEEN(1,100),0)</f>
        <v>Vast Fortresses</v>
      </c>
      <c r="X110" t="str" cm="1">
        <f t="array" aca="1" ref="X110" ca="1">INDEX($I$2:$I$101, RANDBETWEEN(1,100),0)</f>
        <v>Eugenic Cult</v>
      </c>
    </row>
    <row r="111" spans="1:24" x14ac:dyDescent="0.25">
      <c r="J111" t="s">
        <v>104</v>
      </c>
      <c r="K111">
        <f t="shared" ca="1" si="9"/>
        <v>4</v>
      </c>
      <c r="L111" s="2">
        <f t="shared" ca="1" si="8"/>
        <v>1.7647058823529411</v>
      </c>
      <c r="M111" t="str" cm="1">
        <f t="array" aca="1" ref="M111" ca="1">INDEX($A$2:$A$101, RANDBETWEEN(1,100),0)</f>
        <v>M</v>
      </c>
      <c r="O111" t="str" cm="1">
        <f t="array" aca="1" ref="O111" ca="1">INDEX($B$2:$B$101, RANDBETWEEN(1,100),0)</f>
        <v>Forge World</v>
      </c>
      <c r="P111" t="str" cm="1">
        <f t="array" aca="1" ref="P111" ca="1">INDEX($C$2:$C$21, RANDBETWEEN(1,20),0)</f>
        <v>Breathable</v>
      </c>
      <c r="Q111" t="str" cm="1">
        <f t="array" aca="1" ref="Q111" ca="1">INDEX($D$2:$D$21, RANDBETWEEN(1,20),0)</f>
        <v>Cold</v>
      </c>
      <c r="R111" t="str" cm="1">
        <f t="array" aca="1" ref="R111" ca="1">INDEX($E$2:$E$21, RANDBETWEEN(1,20),0)</f>
        <v>Minimal</v>
      </c>
      <c r="S111" t="str" cm="1">
        <f t="array" aca="1" ref="S111" ca="1">INDEX($F$2:$F$21, RANDBETWEEN(1,20),0)</f>
        <v>Extremely Dense</v>
      </c>
      <c r="T111" t="str" cm="1">
        <f t="array" aca="1" ref="T111" ca="1">INDEX($G$2:$G$21, RANDBETWEEN(1,20),0)</f>
        <v>Low</v>
      </c>
      <c r="U111" t="str" cm="1">
        <f t="array" aca="1" ref="U111" ca="1">INDEX($H$2:$H$31, RANDBETWEEN(1,30),0)</f>
        <v>Local Religious Authorities</v>
      </c>
      <c r="V111" t="str" cm="1">
        <f t="array" aca="1" ref="V111" ca="1">INDEX($I$2:$I$101, RANDBETWEEN(1,100),0)</f>
        <v>Eugenic Cult</v>
      </c>
      <c r="W111" t="str" cm="1">
        <f t="array" aca="1" ref="W111" ca="1">INDEX($I$2:$I$101, RANDBETWEEN(1,100),0)</f>
        <v>Seismic Instability</v>
      </c>
      <c r="X111" t="str" cm="1">
        <f t="array" aca="1" ref="X111" ca="1">INDEX($I$2:$I$101, RANDBETWEEN(1,100),0)</f>
        <v>Pandemic</v>
      </c>
    </row>
    <row r="112" spans="1:24" x14ac:dyDescent="0.25">
      <c r="J112" t="s">
        <v>106</v>
      </c>
      <c r="K112">
        <f t="shared" ca="1" si="9"/>
        <v>2</v>
      </c>
      <c r="L112" s="2">
        <f t="shared" ca="1" si="8"/>
        <v>7.0588235294117645</v>
      </c>
      <c r="M112" t="str" cm="1">
        <f t="array" aca="1" ref="M112" ca="1">INDEX($A$2:$A$101, RANDBETWEEN(1,100),0)</f>
        <v>A</v>
      </c>
      <c r="O112" t="str" cm="1">
        <f t="array" aca="1" ref="O112" ca="1">INDEX($B$2:$B$101, RANDBETWEEN(1,100),0)</f>
        <v>Industrial World</v>
      </c>
      <c r="P112" t="str" cm="1">
        <f t="array" aca="1" ref="P112" ca="1">INDEX($C$2:$C$21, RANDBETWEEN(1,20),0)</f>
        <v>Tainted</v>
      </c>
      <c r="Q112" t="str" cm="1">
        <f t="array" aca="1" ref="Q112" ca="1">INDEX($D$2:$D$21, RANDBETWEEN(1,20),0)</f>
        <v>Hot</v>
      </c>
      <c r="R112" t="str" cm="1">
        <f t="array" aca="1" ref="R112" ca="1">INDEX($E$2:$E$21, RANDBETWEEN(1,20),0)</f>
        <v>Nonexistent</v>
      </c>
      <c r="S112" t="str" cm="1">
        <f t="array" aca="1" ref="S112" ca="1">INDEX($F$2:$F$21, RANDBETWEEN(1,20),0)</f>
        <v>Extremely Dense</v>
      </c>
      <c r="T112" t="str" cm="1">
        <f t="array" aca="1" ref="T112" ca="1">INDEX($G$2:$G$21, RANDBETWEEN(1,20),0)</f>
        <v>Low</v>
      </c>
      <c r="U112" t="str" cm="1">
        <f t="array" aca="1" ref="U112" ca="1">INDEX($H$2:$H$31, RANDBETWEEN(1,30),0)</f>
        <v>Hereteks</v>
      </c>
      <c r="V112" t="str" cm="1">
        <f t="array" aca="1" ref="V112" ca="1">INDEX($I$2:$I$101, RANDBETWEEN(1,100),0)</f>
        <v>Ancient Archive</v>
      </c>
      <c r="W112" t="str" cm="1">
        <f t="array" aca="1" ref="W112" ca="1">INDEX($I$2:$I$101, RANDBETWEEN(1,100),0)</f>
        <v>Freak Geology</v>
      </c>
      <c r="X112" t="str" cm="1">
        <f t="array" aca="1" ref="X112" ca="1">INDEX($I$2:$I$101, RANDBETWEEN(1,100),0)</f>
        <v>Civil War</v>
      </c>
    </row>
    <row r="113" spans="10:24" x14ac:dyDescent="0.25">
      <c r="J113" t="s">
        <v>101</v>
      </c>
      <c r="K113">
        <f t="shared" ca="1" si="9"/>
        <v>4</v>
      </c>
      <c r="L113" s="2">
        <f t="shared" ca="1" si="8"/>
        <v>1.4634146341463414</v>
      </c>
      <c r="M113" t="str" cm="1">
        <f t="array" aca="1" ref="M113" ca="1">INDEX($A$2:$A$101, RANDBETWEEN(1,100),0)</f>
        <v>F</v>
      </c>
      <c r="O113" t="str" cm="1">
        <f t="array" aca="1" ref="O113" ca="1">INDEX($B$2:$B$101, RANDBETWEEN(1,100),0)</f>
        <v>Frontier World</v>
      </c>
      <c r="P113" t="str" cm="1">
        <f t="array" aca="1" ref="P113" ca="1">INDEX($C$2:$C$21, RANDBETWEEN(1,20),0)</f>
        <v>Breathable</v>
      </c>
      <c r="Q113" t="str" cm="1">
        <f t="array" aca="1" ref="Q113" ca="1">INDEX($D$2:$D$21, RANDBETWEEN(1,20),0)</f>
        <v>Cold</v>
      </c>
      <c r="R113" t="str" cm="1">
        <f t="array" aca="1" ref="R113" ca="1">INDEX($E$2:$E$21, RANDBETWEEN(1,20),0)</f>
        <v>Poisoned</v>
      </c>
      <c r="S113" t="str" cm="1">
        <f t="array" aca="1" ref="S113" ca="1">INDEX($F$2:$F$21, RANDBETWEEN(1,20),0)</f>
        <v>Uninhabited</v>
      </c>
      <c r="T113" t="str" cm="1">
        <f t="array" aca="1" ref="T113" ca="1">INDEX($G$2:$G$21, RANDBETWEEN(1,20),0)</f>
        <v>High</v>
      </c>
      <c r="U113" t="str" cm="1">
        <f t="array" aca="1" ref="U113" ca="1">INDEX($H$2:$H$31, RANDBETWEEN(1,30),0)</f>
        <v>Xenos Overlords</v>
      </c>
      <c r="V113" t="str" cm="1">
        <f t="array" aca="1" ref="V113" ca="1">INDEX($I$2:$I$101, RANDBETWEEN(1,100),0)</f>
        <v>War Zone</v>
      </c>
      <c r="W113" t="str" cm="1">
        <f t="array" aca="1" ref="W113" ca="1">INDEX($I$2:$I$101, RANDBETWEEN(1,100),0)</f>
        <v>Separatists</v>
      </c>
      <c r="X113" t="str" cm="1">
        <f t="array" aca="1" ref="X113" ca="1">INDEX($I$2:$I$101, RANDBETWEEN(1,100),0)</f>
        <v>Sealed Menace</v>
      </c>
    </row>
    <row r="114" spans="10:24" x14ac:dyDescent="0.25">
      <c r="J114" t="s">
        <v>78</v>
      </c>
      <c r="K114">
        <f t="shared" ca="1" si="9"/>
        <v>3</v>
      </c>
      <c r="L114" s="2">
        <f t="shared" ca="1" si="8"/>
        <v>3.5294117647058822</v>
      </c>
      <c r="M114" t="str" cm="1">
        <f t="array" aca="1" ref="M114" ca="1">INDEX($A$2:$A$101, RANDBETWEEN(1,100),0)</f>
        <v>G</v>
      </c>
      <c r="O114" t="str" cm="1">
        <f t="array" aca="1" ref="O114" ca="1">INDEX($B$2:$B$101, RANDBETWEEN(1,100),0)</f>
        <v>Penal World</v>
      </c>
      <c r="P114" t="str" cm="1">
        <f t="array" aca="1" ref="P114" ca="1">INDEX($C$2:$C$21, RANDBETWEEN(1,20),0)</f>
        <v>Breathable</v>
      </c>
      <c r="Q114" t="str" cm="1">
        <f t="array" aca="1" ref="Q114" ca="1">INDEX($D$2:$D$21, RANDBETWEEN(1,20),0)</f>
        <v>Boiling</v>
      </c>
      <c r="R114" t="str" cm="1">
        <f t="array" aca="1" ref="R114" ca="1">INDEX($E$2:$E$21, RANDBETWEEN(1,20),0)</f>
        <v>Poisoned</v>
      </c>
      <c r="S114" t="str" cm="1">
        <f t="array" aca="1" ref="S114" ca="1">INDEX($F$2:$F$21, RANDBETWEEN(1,20),0)</f>
        <v>Extremely Dense</v>
      </c>
      <c r="T114" t="str" cm="1">
        <f t="array" aca="1" ref="T114" ca="1">INDEX($G$2:$G$21, RANDBETWEEN(1,20),0)</f>
        <v>High</v>
      </c>
      <c r="U114" t="str" cm="1">
        <f t="array" aca="1" ref="U114" ca="1">INDEX($H$2:$H$31, RANDBETWEEN(1,30),0)</f>
        <v>Heretical Imperial Cult</v>
      </c>
      <c r="V114" t="str" cm="1">
        <f t="array" aca="1" ref="V114" ca="1">INDEX($I$2:$I$101, RANDBETWEEN(1,100),0)</f>
        <v>Hostile Biosphere</v>
      </c>
      <c r="W114" t="str" cm="1">
        <f t="array" aca="1" ref="W114" ca="1">INDEX($I$2:$I$101, RANDBETWEEN(1,100),0)</f>
        <v>Desert World</v>
      </c>
      <c r="X114" t="str" cm="1">
        <f t="array" aca="1" ref="X114" ca="1">INDEX($I$2:$I$101, RANDBETWEEN(1,100),0)</f>
        <v>Abhumans</v>
      </c>
    </row>
    <row r="115" spans="10:24" x14ac:dyDescent="0.25">
      <c r="J115" t="s">
        <v>143</v>
      </c>
      <c r="K115">
        <f t="shared" ca="1" si="9"/>
        <v>5</v>
      </c>
      <c r="L115" s="2">
        <f t="shared" ca="1" si="8"/>
        <v>3.0769230769230771</v>
      </c>
      <c r="M115" t="str" cm="1">
        <f t="array" aca="1" ref="M115" ca="1">INDEX($A$2:$A$101, RANDBETWEEN(1,100),0)</f>
        <v>M</v>
      </c>
      <c r="O115" t="str" cm="1">
        <f t="array" aca="1" ref="O115" ca="1">INDEX($B$2:$B$101, RANDBETWEEN(1,100),0)</f>
        <v>Shrine World</v>
      </c>
      <c r="P115" t="str" cm="1">
        <f t="array" aca="1" ref="P115" ca="1">INDEX($C$2:$C$21, RANDBETWEEN(1,20),0)</f>
        <v>Toxic</v>
      </c>
      <c r="Q115" t="str" cm="1">
        <f t="array" aca="1" ref="Q115" ca="1">INDEX($D$2:$D$21, RANDBETWEEN(1,20),0)</f>
        <v>Cold</v>
      </c>
      <c r="R115" t="str" cm="1">
        <f t="array" aca="1" ref="R115" ca="1">INDEX($E$2:$E$21, RANDBETWEEN(1,20),0)</f>
        <v>Minimal</v>
      </c>
      <c r="S115" t="str" cm="1">
        <f t="array" aca="1" ref="S115" ca="1">INDEX($F$2:$F$21, RANDBETWEEN(1,20),0)</f>
        <v>Lightly Populated</v>
      </c>
      <c r="T115" t="str" cm="1">
        <f t="array" aca="1" ref="T115" ca="1">INDEX($G$2:$G$21, RANDBETWEEN(1,20),0)</f>
        <v>Low</v>
      </c>
      <c r="U115" t="str" cm="1">
        <f t="array" aca="1" ref="U115" ca="1">INDEX($H$2:$H$31, RANDBETWEEN(1,30),0)</f>
        <v>Heretical Imperial Cult</v>
      </c>
      <c r="V115" t="str" cm="1">
        <f t="array" aca="1" ref="V115" ca="1">INDEX($I$2:$I$101, RANDBETWEEN(1,100),0)</f>
        <v>Ancient Archive</v>
      </c>
      <c r="W115" t="str" cm="1">
        <f t="array" aca="1" ref="W115" ca="1">INDEX($I$2:$I$101, RANDBETWEEN(1,100),0)</f>
        <v>Freeport</v>
      </c>
      <c r="X115" t="str" cm="1">
        <f t="array" aca="1" ref="X115" ca="1">INDEX($I$2:$I$101, RANDBETWEEN(1,100),0)</f>
        <v>Mutant Hordes</v>
      </c>
    </row>
    <row r="116" spans="10:24" x14ac:dyDescent="0.25">
      <c r="J116" t="s">
        <v>193</v>
      </c>
      <c r="K116">
        <f t="shared" ca="1" si="9"/>
        <v>6</v>
      </c>
      <c r="L116" s="2">
        <f t="shared" ca="1" si="8"/>
        <v>3.5294117647058822</v>
      </c>
      <c r="M116" t="str" cm="1">
        <f t="array" aca="1" ref="M116" ca="1">INDEX($A$2:$A$101, RANDBETWEEN(1,100),0)</f>
        <v>G</v>
      </c>
      <c r="O116" t="str" cm="1">
        <f t="array" aca="1" ref="O116" ca="1">INDEX($B$2:$B$101, RANDBETWEEN(1,100),0)</f>
        <v>Hive World</v>
      </c>
      <c r="P116" t="str" cm="1">
        <f t="array" aca="1" ref="P116" ca="1">INDEX($C$2:$C$21, RANDBETWEEN(1,20),0)</f>
        <v>Breathable</v>
      </c>
      <c r="Q116" t="str" cm="1">
        <f t="array" aca="1" ref="Q116" ca="1">INDEX($D$2:$D$21, RANDBETWEEN(1,20),0)</f>
        <v>Hot</v>
      </c>
      <c r="R116" t="str" cm="1">
        <f t="array" aca="1" ref="R116" ca="1">INDEX($E$2:$E$21, RANDBETWEEN(1,20),0)</f>
        <v>Poisoned</v>
      </c>
      <c r="S116" t="str" cm="1">
        <f t="array" aca="1" ref="S116" ca="1">INDEX($F$2:$F$21, RANDBETWEEN(1,20),0)</f>
        <v>Densely Populated</v>
      </c>
      <c r="T116" t="str" cm="1">
        <f t="array" aca="1" ref="T116" ca="1">INDEX($G$2:$G$21, RANDBETWEEN(1,20),0)</f>
        <v>High</v>
      </c>
      <c r="U116" t="str" cm="1">
        <f t="array" aca="1" ref="U116" ca="1">INDEX($H$2:$H$31, RANDBETWEEN(1,30),0)</f>
        <v>Hereteks</v>
      </c>
      <c r="V116" t="str" cm="1">
        <f t="array" aca="1" ref="V116" ca="1">INDEX($I$2:$I$101, RANDBETWEEN(1,100),0)</f>
        <v>Sororitas Convent</v>
      </c>
      <c r="W116" t="str" cm="1">
        <f t="array" aca="1" ref="W116" ca="1">INDEX($I$2:$I$101, RANDBETWEEN(1,100),0)</f>
        <v>Sole Suppliers</v>
      </c>
      <c r="X116" t="str" cm="1">
        <f t="array" aca="1" ref="X116" ca="1">INDEX($I$2:$I$101, RANDBETWEEN(1,100),0)</f>
        <v>Schola Progenium</v>
      </c>
    </row>
    <row r="117" spans="10:24" x14ac:dyDescent="0.25">
      <c r="J117" t="s">
        <v>146</v>
      </c>
      <c r="K117">
        <f t="shared" ca="1" si="9"/>
        <v>4</v>
      </c>
      <c r="L117" s="2">
        <f t="shared" ca="1" si="8"/>
        <v>1.5789473684210527</v>
      </c>
      <c r="M117" t="str" cm="1">
        <f t="array" aca="1" ref="M117" ca="1">INDEX($A$2:$A$101, RANDBETWEEN(1,100),0)</f>
        <v>B</v>
      </c>
      <c r="O117" t="str" cm="1">
        <f t="array" aca="1" ref="O117" ca="1">INDEX($B$2:$B$101, RANDBETWEEN(1,100),0)</f>
        <v>Feral World</v>
      </c>
      <c r="P117" t="str" cm="1">
        <f t="array" aca="1" ref="P117" ca="1">INDEX($C$2:$C$21, RANDBETWEEN(1,20),0)</f>
        <v>Airless</v>
      </c>
      <c r="Q117" t="str" cm="1">
        <f t="array" aca="1" ref="Q117" ca="1">INDEX($D$2:$D$21, RANDBETWEEN(1,20),0)</f>
        <v>Hot</v>
      </c>
      <c r="R117" t="str" cm="1">
        <f t="array" aca="1" ref="R117" ca="1">INDEX($E$2:$E$21, RANDBETWEEN(1,20),0)</f>
        <v>Nonexistent</v>
      </c>
      <c r="S117" t="str" cm="1">
        <f t="array" aca="1" ref="S117" ca="1">INDEX($F$2:$F$21, RANDBETWEEN(1,20),0)</f>
        <v>Sole Settlement</v>
      </c>
      <c r="T117" t="str" cm="1">
        <f t="array" aca="1" ref="T117" ca="1">INDEX($G$2:$G$21, RANDBETWEEN(1,20),0)</f>
        <v>Low</v>
      </c>
      <c r="U117" t="str" cm="1">
        <f t="array" aca="1" ref="U117" ca="1">INDEX($H$2:$H$31, RANDBETWEEN(1,30),0)</f>
        <v>Demagogue</v>
      </c>
      <c r="V117" t="str" cm="1">
        <f t="array" aca="1" ref="V117" ca="1">INDEX($I$2:$I$101, RANDBETWEEN(1,100),0)</f>
        <v>Police State</v>
      </c>
      <c r="W117" t="str" cm="1">
        <f t="array" aca="1" ref="W117" ca="1">INDEX($I$2:$I$101, RANDBETWEEN(1,100),0)</f>
        <v>Xenophiles</v>
      </c>
      <c r="X117" t="str" cm="1">
        <f t="array" aca="1" ref="X117" ca="1">INDEX($I$2:$I$101, RANDBETWEEN(1,100),0)</f>
        <v>Under Invasion</v>
      </c>
    </row>
    <row r="118" spans="10:24" x14ac:dyDescent="0.25">
      <c r="J118" t="s">
        <v>121</v>
      </c>
      <c r="K118">
        <f t="shared" ca="1" si="9"/>
        <v>2</v>
      </c>
      <c r="L118" s="2">
        <f t="shared" ca="1" si="8"/>
        <v>2.4</v>
      </c>
      <c r="M118" t="str" cm="1">
        <f t="array" aca="1" ref="M118" ca="1">INDEX($A$2:$A$101, RANDBETWEEN(1,100),0)</f>
        <v>A</v>
      </c>
      <c r="O118" t="str" cm="1">
        <f t="array" aca="1" ref="O118" ca="1">INDEX($B$2:$B$101, RANDBETWEEN(1,100),0)</f>
        <v>Shrine World</v>
      </c>
      <c r="P118" t="str" cm="1">
        <f t="array" aca="1" ref="P118" ca="1">INDEX($C$2:$C$21, RANDBETWEEN(1,20),0)</f>
        <v>Tainted</v>
      </c>
      <c r="Q118" t="str" cm="1">
        <f t="array" aca="1" ref="Q118" ca="1">INDEX($D$2:$D$21, RANDBETWEEN(1,20),0)</f>
        <v>Temperate</v>
      </c>
      <c r="R118" t="str" cm="1">
        <f t="array" aca="1" ref="R118" ca="1">INDEX($E$2:$E$21, RANDBETWEEN(1,20),0)</f>
        <v>Minimal</v>
      </c>
      <c r="S118" t="str" cm="1">
        <f t="array" aca="1" ref="S118" ca="1">INDEX($F$2:$F$21, RANDBETWEEN(1,20),0)</f>
        <v>Minimal</v>
      </c>
      <c r="T118" t="str" cm="1">
        <f t="array" aca="1" ref="T118" ca="1">INDEX($G$2:$G$21, RANDBETWEEN(1,20),0)</f>
        <v>Low</v>
      </c>
      <c r="U118" t="str" cm="1">
        <f t="array" aca="1" ref="U118" ca="1">INDEX($H$2:$H$31, RANDBETWEEN(1,30),0)</f>
        <v>Mechanicus Forge-Lord</v>
      </c>
      <c r="V118" t="str" cm="1">
        <f t="array" aca="1" ref="V118" ca="1">INDEX($I$2:$I$101, RANDBETWEEN(1,100),0)</f>
        <v>Radioactive</v>
      </c>
      <c r="W118" t="str" cm="1">
        <f t="array" aca="1" ref="W118" ca="1">INDEX($I$2:$I$101, RANDBETWEEN(1,100),0)</f>
        <v>Frozen World</v>
      </c>
      <c r="X118" t="str" cm="1">
        <f t="array" aca="1" ref="X118" ca="1">INDEX($I$2:$I$101, RANDBETWEEN(1,100),0)</f>
        <v>Pilgrimage Site</v>
      </c>
    </row>
    <row r="119" spans="10:24" x14ac:dyDescent="0.25">
      <c r="J119" t="s">
        <v>132</v>
      </c>
      <c r="K119">
        <f t="shared" ca="1" si="9"/>
        <v>4</v>
      </c>
      <c r="L119" s="2">
        <f t="shared" ca="1" si="8"/>
        <v>1.4285714285714286</v>
      </c>
      <c r="M119" t="str" cm="1">
        <f t="array" aca="1" ref="M119" ca="1">INDEX($A$2:$A$101, RANDBETWEEN(1,100),0)</f>
        <v>M</v>
      </c>
      <c r="O119" t="str" cm="1">
        <f t="array" aca="1" ref="O119" ca="1">INDEX($B$2:$B$101, RANDBETWEEN(1,100),0)</f>
        <v>Pleasure World</v>
      </c>
      <c r="P119" t="str" cm="1">
        <f t="array" aca="1" ref="P119" ca="1">INDEX($C$2:$C$21, RANDBETWEEN(1,20),0)</f>
        <v>Thin</v>
      </c>
      <c r="Q119" t="str" cm="1">
        <f t="array" aca="1" ref="Q119" ca="1">INDEX($D$2:$D$21, RANDBETWEEN(1,20),0)</f>
        <v>Freezing</v>
      </c>
      <c r="R119" t="str" cm="1">
        <f t="array" aca="1" ref="R119" ca="1">INDEX($E$2:$E$21, RANDBETWEEN(1,20),0)</f>
        <v>Poisoned</v>
      </c>
      <c r="S119" t="str" cm="1">
        <f t="array" aca="1" ref="S119" ca="1">INDEX($F$2:$F$21, RANDBETWEEN(1,20),0)</f>
        <v>Lightly Populated</v>
      </c>
      <c r="T119" t="str" cm="1">
        <f t="array" aca="1" ref="T119" ca="1">INDEX($G$2:$G$21, RANDBETWEEN(1,20),0)</f>
        <v>Low</v>
      </c>
      <c r="U119" t="str" cm="1">
        <f t="array" aca="1" ref="U119" ca="1">INDEX($H$2:$H$31, RANDBETWEEN(1,30),0)</f>
        <v>Heretical Imperial Cult</v>
      </c>
      <c r="V119" t="str" cm="1">
        <f t="array" aca="1" ref="V119" ca="1">INDEX($I$2:$I$101, RANDBETWEEN(1,100),0)</f>
        <v>Jungle World</v>
      </c>
      <c r="W119" t="str" cm="1">
        <f t="array" aca="1" ref="W119" ca="1">INDEX($I$2:$I$101, RANDBETWEEN(1,100),0)</f>
        <v>Chaos Cultists</v>
      </c>
      <c r="X119" t="str" cm="1">
        <f t="array" aca="1" ref="X119" ca="1">INDEX($I$2:$I$101, RANDBETWEEN(1,100),0)</f>
        <v>Pilgrimage Site</v>
      </c>
    </row>
    <row r="120" spans="10:24" x14ac:dyDescent="0.25">
      <c r="J120" t="s">
        <v>115</v>
      </c>
      <c r="K120">
        <f t="shared" ca="1" si="9"/>
        <v>4</v>
      </c>
      <c r="L120" s="2">
        <f t="shared" ca="1" si="8"/>
        <v>1.9047619047619047</v>
      </c>
      <c r="M120" t="str" cm="1">
        <f t="array" aca="1" ref="M120" ca="1">INDEX($A$2:$A$101, RANDBETWEEN(1,100),0)</f>
        <v>F</v>
      </c>
      <c r="O120" t="str" cm="1">
        <f t="array" aca="1" ref="O120" ca="1">INDEX($B$2:$B$101, RANDBETWEEN(1,100),0)</f>
        <v>Warp-Lost World</v>
      </c>
      <c r="P120" t="str" cm="1">
        <f t="array" aca="1" ref="P120" ca="1">INDEX($C$2:$C$21, RANDBETWEEN(1,20),0)</f>
        <v>Breathable</v>
      </c>
      <c r="Q120" t="str" cm="1">
        <f t="array" aca="1" ref="Q120" ca="1">INDEX($D$2:$D$21, RANDBETWEEN(1,20),0)</f>
        <v>Temperate</v>
      </c>
      <c r="R120" t="str" cm="1">
        <f t="array" aca="1" ref="R120" ca="1">INDEX($E$2:$E$21, RANDBETWEEN(1,20),0)</f>
        <v>Thriving</v>
      </c>
      <c r="S120" t="str" cm="1">
        <f t="array" aca="1" ref="S120" ca="1">INDEX($F$2:$F$21, RANDBETWEEN(1,20),0)</f>
        <v>Densely Populated</v>
      </c>
      <c r="T120" t="str" cm="1">
        <f t="array" aca="1" ref="T120" ca="1">INDEX($G$2:$G$21, RANDBETWEEN(1,20),0)</f>
        <v>Standard</v>
      </c>
      <c r="U120" t="str" cm="1">
        <f t="array" aca="1" ref="U120" ca="1">INDEX($H$2:$H$31, RANDBETWEEN(1,30),0)</f>
        <v>Megacorporations</v>
      </c>
      <c r="V120" t="str" cm="1">
        <f t="array" aca="1" ref="V120" ca="1">INDEX($I$2:$I$101, RANDBETWEEN(1,100),0)</f>
        <v>Abhumans</v>
      </c>
      <c r="W120" t="str" cm="1">
        <f t="array" aca="1" ref="W120" ca="1">INDEX($I$2:$I$101, RANDBETWEEN(1,100),0)</f>
        <v>Ancient Archive</v>
      </c>
      <c r="X120" t="str" cm="1">
        <f t="array" aca="1" ref="X120" ca="1">INDEX($I$2:$I$101, RANDBETWEEN(1,100),0)</f>
        <v>Desert World</v>
      </c>
    </row>
    <row r="121" spans="10:24" x14ac:dyDescent="0.25">
      <c r="J121" t="s">
        <v>70</v>
      </c>
      <c r="K121">
        <f t="shared" ca="1" si="9"/>
        <v>2</v>
      </c>
      <c r="L121" s="2">
        <f t="shared" ca="1" si="8"/>
        <v>1</v>
      </c>
      <c r="M121" t="str" cm="1">
        <f t="array" aca="1" ref="M121" ca="1">INDEX($A$2:$A$101, RANDBETWEEN(1,100),0)</f>
        <v>K</v>
      </c>
      <c r="O121" t="str" cm="1">
        <f t="array" aca="1" ref="O121" ca="1">INDEX($B$2:$B$101, RANDBETWEEN(1,100),0)</f>
        <v>Frontier World</v>
      </c>
      <c r="P121" t="str" cm="1">
        <f t="array" aca="1" ref="P121" ca="1">INDEX($C$2:$C$21, RANDBETWEEN(1,20),0)</f>
        <v>Breathable</v>
      </c>
      <c r="Q121" t="str" cm="1">
        <f t="array" aca="1" ref="Q121" ca="1">INDEX($D$2:$D$21, RANDBETWEEN(1,20),0)</f>
        <v>Hot</v>
      </c>
      <c r="R121" t="str" cm="1">
        <f t="array" aca="1" ref="R121" ca="1">INDEX($E$2:$E$21, RANDBETWEEN(1,20),0)</f>
        <v>Xeno Dominance</v>
      </c>
      <c r="S121" t="str" cm="1">
        <f t="array" aca="1" ref="S121" ca="1">INDEX($F$2:$F$21, RANDBETWEEN(1,20),0)</f>
        <v>Extremely Dense</v>
      </c>
      <c r="T121" t="str" cm="1">
        <f t="array" aca="1" ref="T121" ca="1">INDEX($G$2:$G$21, RANDBETWEEN(1,20),0)</f>
        <v>Xeno Hybrid</v>
      </c>
      <c r="U121" t="str" cm="1">
        <f t="array" aca="1" ref="U121" ca="1">INDEX($H$2:$H$31, RANDBETWEEN(1,30),0)</f>
        <v>Clans / Tribes</v>
      </c>
      <c r="V121" t="str" cm="1">
        <f t="array" aca="1" ref="V121" ca="1">INDEX($I$2:$I$101, RANDBETWEEN(1,100),0)</f>
        <v>Warp Phenomena</v>
      </c>
      <c r="W121" t="str" cm="1">
        <f t="array" aca="1" ref="W121" ca="1">INDEX($I$2:$I$101, RANDBETWEEN(1,100),0)</f>
        <v>Great Work</v>
      </c>
      <c r="X121" t="str" cm="1">
        <f t="array" aca="1" ref="X121" ca="1">INDEX($I$2:$I$101, RANDBETWEEN(1,100),0)</f>
        <v>Pilgrimage Site</v>
      </c>
    </row>
    <row r="122" spans="10:24" x14ac:dyDescent="0.25">
      <c r="J122" t="s">
        <v>123</v>
      </c>
      <c r="K122">
        <f t="shared" ca="1" si="9"/>
        <v>2</v>
      </c>
    </row>
    <row r="123" spans="10:24" x14ac:dyDescent="0.25">
      <c r="J123" t="s">
        <v>131</v>
      </c>
      <c r="K123">
        <f t="shared" ca="1" si="9"/>
        <v>2</v>
      </c>
    </row>
    <row r="124" spans="10:24" x14ac:dyDescent="0.25">
      <c r="J124" t="s">
        <v>103</v>
      </c>
      <c r="K124">
        <f t="shared" ca="1" si="9"/>
        <v>8</v>
      </c>
    </row>
    <row r="125" spans="10:24" x14ac:dyDescent="0.25">
      <c r="J125" t="s">
        <v>102</v>
      </c>
      <c r="K125">
        <f t="shared" ca="1" si="9"/>
        <v>3</v>
      </c>
    </row>
    <row r="126" spans="10:24" x14ac:dyDescent="0.25">
      <c r="J126" t="s">
        <v>189</v>
      </c>
      <c r="K126">
        <f t="shared" ca="1" si="9"/>
        <v>2</v>
      </c>
    </row>
    <row r="127" spans="10:24" x14ac:dyDescent="0.25">
      <c r="J127" t="s">
        <v>117</v>
      </c>
      <c r="K127">
        <f t="shared" ca="1" si="9"/>
        <v>3</v>
      </c>
    </row>
    <row r="128" spans="10:24" x14ac:dyDescent="0.25">
      <c r="J128" t="s">
        <v>86</v>
      </c>
      <c r="K128">
        <f t="shared" ca="1" si="9"/>
        <v>2</v>
      </c>
    </row>
    <row r="129" spans="10:11" x14ac:dyDescent="0.25">
      <c r="J129" t="s">
        <v>74</v>
      </c>
      <c r="K129">
        <f t="shared" ca="1" si="9"/>
        <v>5</v>
      </c>
    </row>
    <row r="130" spans="10:11" x14ac:dyDescent="0.25">
      <c r="J130" t="s">
        <v>94</v>
      </c>
      <c r="K130">
        <f t="shared" ca="1" si="9"/>
        <v>4</v>
      </c>
    </row>
    <row r="131" spans="10:11" x14ac:dyDescent="0.25">
      <c r="J131" t="s">
        <v>144</v>
      </c>
      <c r="K131">
        <f t="shared" ca="1" si="9"/>
        <v>2</v>
      </c>
    </row>
    <row r="132" spans="10:11" x14ac:dyDescent="0.25">
      <c r="J132" t="s">
        <v>87</v>
      </c>
      <c r="K132">
        <f t="shared" ca="1" si="9"/>
        <v>1</v>
      </c>
    </row>
    <row r="133" spans="10:11" x14ac:dyDescent="0.25">
      <c r="J133" t="s">
        <v>98</v>
      </c>
      <c r="K133">
        <f t="shared" ca="1" si="9"/>
        <v>2</v>
      </c>
    </row>
    <row r="134" spans="10:11" x14ac:dyDescent="0.25">
      <c r="J134" t="s">
        <v>97</v>
      </c>
      <c r="K134">
        <f t="shared" ca="1" si="9"/>
        <v>5</v>
      </c>
    </row>
    <row r="135" spans="10:11" x14ac:dyDescent="0.25">
      <c r="J135" t="s">
        <v>66</v>
      </c>
      <c r="K135">
        <f t="shared" ca="1" si="9"/>
        <v>1</v>
      </c>
    </row>
    <row r="136" spans="10:11" x14ac:dyDescent="0.25">
      <c r="J136" t="s">
        <v>190</v>
      </c>
      <c r="K136">
        <f t="shared" ca="1" si="9"/>
        <v>5</v>
      </c>
    </row>
    <row r="137" spans="10:11" x14ac:dyDescent="0.25">
      <c r="J137" t="s">
        <v>120</v>
      </c>
      <c r="K137">
        <f t="shared" ca="1" si="9"/>
        <v>6</v>
      </c>
    </row>
    <row r="138" spans="10:11" x14ac:dyDescent="0.25">
      <c r="J138" t="s">
        <v>152</v>
      </c>
      <c r="K138">
        <f t="shared" ca="1" si="9"/>
        <v>8</v>
      </c>
    </row>
    <row r="139" spans="10:11" x14ac:dyDescent="0.25">
      <c r="J139" t="s">
        <v>125</v>
      </c>
      <c r="K139">
        <f t="shared" ca="1" si="9"/>
        <v>9</v>
      </c>
    </row>
    <row r="140" spans="10:11" x14ac:dyDescent="0.25">
      <c r="J140" t="s">
        <v>118</v>
      </c>
      <c r="K140">
        <f t="shared" ca="1" si="9"/>
        <v>2</v>
      </c>
    </row>
    <row r="141" spans="10:11" x14ac:dyDescent="0.25">
      <c r="J141" t="s">
        <v>112</v>
      </c>
      <c r="K141">
        <f t="shared" ca="1" si="9"/>
        <v>2</v>
      </c>
    </row>
    <row r="142" spans="10:11" x14ac:dyDescent="0.25">
      <c r="J142" t="s">
        <v>113</v>
      </c>
      <c r="K142">
        <f t="shared" ca="1" si="9"/>
        <v>4</v>
      </c>
    </row>
    <row r="143" spans="10:11" x14ac:dyDescent="0.25">
      <c r="J143" t="s">
        <v>135</v>
      </c>
      <c r="K143">
        <f t="shared" ca="1" si="9"/>
        <v>4</v>
      </c>
    </row>
    <row r="144" spans="10:11" x14ac:dyDescent="0.25">
      <c r="J144" t="s">
        <v>127</v>
      </c>
      <c r="K144">
        <f t="shared" ca="1" si="9"/>
        <v>2</v>
      </c>
    </row>
    <row r="145" spans="10:11" x14ac:dyDescent="0.25">
      <c r="J145" t="s">
        <v>30</v>
      </c>
      <c r="K145">
        <f t="shared" ca="1" si="9"/>
        <v>4</v>
      </c>
    </row>
    <row r="146" spans="10:11" x14ac:dyDescent="0.25">
      <c r="J146" t="s">
        <v>75</v>
      </c>
      <c r="K146">
        <f t="shared" ca="1" si="9"/>
        <v>3</v>
      </c>
    </row>
    <row r="147" spans="10:11" x14ac:dyDescent="0.25">
      <c r="J147" t="s">
        <v>130</v>
      </c>
      <c r="K147">
        <f t="shared" ca="1" si="9"/>
        <v>2</v>
      </c>
    </row>
    <row r="148" spans="10:11" x14ac:dyDescent="0.25">
      <c r="J148" t="s">
        <v>105</v>
      </c>
      <c r="K148">
        <f t="shared" ca="1" si="9"/>
        <v>5</v>
      </c>
    </row>
    <row r="149" spans="10:11" x14ac:dyDescent="0.25">
      <c r="J149" t="s">
        <v>128</v>
      </c>
      <c r="K149">
        <f t="shared" ca="1" si="9"/>
        <v>5</v>
      </c>
    </row>
    <row r="150" spans="10:11" x14ac:dyDescent="0.25">
      <c r="J150" t="s">
        <v>89</v>
      </c>
      <c r="K150">
        <f t="shared" ca="1" si="9"/>
        <v>3</v>
      </c>
    </row>
    <row r="151" spans="10:11" x14ac:dyDescent="0.25">
      <c r="J151" t="s">
        <v>174</v>
      </c>
      <c r="K151">
        <f t="shared" ca="1" si="9"/>
        <v>3</v>
      </c>
    </row>
    <row r="152" spans="10:11" x14ac:dyDescent="0.25">
      <c r="J152" t="s">
        <v>124</v>
      </c>
      <c r="K152">
        <f t="shared" ca="1" si="9"/>
        <v>3</v>
      </c>
    </row>
    <row r="153" spans="10:11" x14ac:dyDescent="0.25">
      <c r="J153" t="s">
        <v>195</v>
      </c>
      <c r="K153">
        <f t="shared" ca="1" si="9"/>
        <v>2</v>
      </c>
    </row>
    <row r="154" spans="10:11" x14ac:dyDescent="0.25">
      <c r="J154" t="s">
        <v>76</v>
      </c>
      <c r="K154">
        <f t="shared" ca="1" si="9"/>
        <v>2</v>
      </c>
    </row>
    <row r="155" spans="10:11" x14ac:dyDescent="0.25">
      <c r="J155" t="s">
        <v>191</v>
      </c>
      <c r="K155">
        <f t="shared" ca="1" si="9"/>
        <v>4</v>
      </c>
    </row>
    <row r="156" spans="10:11" x14ac:dyDescent="0.25">
      <c r="J156" t="s">
        <v>90</v>
      </c>
      <c r="K156">
        <f t="shared" ref="K156:K190" ca="1" si="10">COUNTIF($V$1:$X$121,J156)</f>
        <v>5</v>
      </c>
    </row>
    <row r="157" spans="10:11" x14ac:dyDescent="0.25">
      <c r="J157" t="s">
        <v>63</v>
      </c>
      <c r="K157">
        <f t="shared" ca="1" si="10"/>
        <v>1</v>
      </c>
    </row>
    <row r="158" spans="10:11" x14ac:dyDescent="0.25">
      <c r="J158" t="s">
        <v>79</v>
      </c>
      <c r="K158">
        <f t="shared" ca="1" si="10"/>
        <v>3</v>
      </c>
    </row>
    <row r="159" spans="10:11" x14ac:dyDescent="0.25">
      <c r="J159" t="s">
        <v>84</v>
      </c>
      <c r="K159">
        <f t="shared" ca="1" si="10"/>
        <v>3</v>
      </c>
    </row>
    <row r="160" spans="10:11" x14ac:dyDescent="0.25">
      <c r="J160" t="s">
        <v>147</v>
      </c>
      <c r="K160">
        <f t="shared" ca="1" si="10"/>
        <v>2</v>
      </c>
    </row>
    <row r="161" spans="10:11" x14ac:dyDescent="0.25">
      <c r="J161" t="s">
        <v>56</v>
      </c>
      <c r="K161">
        <f t="shared" ca="1" si="10"/>
        <v>2</v>
      </c>
    </row>
    <row r="162" spans="10:11" x14ac:dyDescent="0.25">
      <c r="J162" t="s">
        <v>71</v>
      </c>
      <c r="K162">
        <f t="shared" ca="1" si="10"/>
        <v>7</v>
      </c>
    </row>
    <row r="163" spans="10:11" x14ac:dyDescent="0.25">
      <c r="J163" t="s">
        <v>77</v>
      </c>
      <c r="K163">
        <f t="shared" ca="1" si="10"/>
        <v>4</v>
      </c>
    </row>
    <row r="164" spans="10:11" x14ac:dyDescent="0.25">
      <c r="J164" t="s">
        <v>99</v>
      </c>
      <c r="K164">
        <f t="shared" ca="1" si="10"/>
        <v>2</v>
      </c>
    </row>
    <row r="165" spans="10:11" x14ac:dyDescent="0.25">
      <c r="J165" t="s">
        <v>72</v>
      </c>
      <c r="K165">
        <f t="shared" ca="1" si="10"/>
        <v>4</v>
      </c>
    </row>
    <row r="166" spans="10:11" x14ac:dyDescent="0.25">
      <c r="J166" t="s">
        <v>100</v>
      </c>
      <c r="K166">
        <f t="shared" ca="1" si="10"/>
        <v>3</v>
      </c>
    </row>
    <row r="167" spans="10:11" x14ac:dyDescent="0.25">
      <c r="J167" t="s">
        <v>138</v>
      </c>
      <c r="K167">
        <f t="shared" ca="1" si="10"/>
        <v>2</v>
      </c>
    </row>
    <row r="168" spans="10:11" x14ac:dyDescent="0.25">
      <c r="J168" t="s">
        <v>69</v>
      </c>
      <c r="K168">
        <f t="shared" ca="1" si="10"/>
        <v>2</v>
      </c>
    </row>
    <row r="169" spans="10:11" x14ac:dyDescent="0.25">
      <c r="J169" t="s">
        <v>142</v>
      </c>
      <c r="K169">
        <f t="shared" ca="1" si="10"/>
        <v>3</v>
      </c>
    </row>
    <row r="170" spans="10:11" x14ac:dyDescent="0.25">
      <c r="J170" t="s">
        <v>136</v>
      </c>
      <c r="K170">
        <f t="shared" ca="1" si="10"/>
        <v>4</v>
      </c>
    </row>
    <row r="171" spans="10:11" x14ac:dyDescent="0.25">
      <c r="J171" t="s">
        <v>81</v>
      </c>
      <c r="K171">
        <f t="shared" ca="1" si="10"/>
        <v>3</v>
      </c>
    </row>
    <row r="172" spans="10:11" x14ac:dyDescent="0.25">
      <c r="J172" t="s">
        <v>134</v>
      </c>
      <c r="K172">
        <f t="shared" ca="1" si="10"/>
        <v>3</v>
      </c>
    </row>
    <row r="173" spans="10:11" x14ac:dyDescent="0.25">
      <c r="J173" t="s">
        <v>133</v>
      </c>
      <c r="K173">
        <f t="shared" ca="1" si="10"/>
        <v>0</v>
      </c>
    </row>
    <row r="174" spans="10:11" x14ac:dyDescent="0.25">
      <c r="J174" t="s">
        <v>57</v>
      </c>
      <c r="K174">
        <f t="shared" ca="1" si="10"/>
        <v>5</v>
      </c>
    </row>
    <row r="175" spans="10:11" x14ac:dyDescent="0.25">
      <c r="J175" t="s">
        <v>85</v>
      </c>
      <c r="K175">
        <f t="shared" ca="1" si="10"/>
        <v>4</v>
      </c>
    </row>
    <row r="176" spans="10:11" x14ac:dyDescent="0.25">
      <c r="J176" t="s">
        <v>108</v>
      </c>
      <c r="K176">
        <f t="shared" ca="1" si="10"/>
        <v>2</v>
      </c>
    </row>
    <row r="177" spans="10:11" x14ac:dyDescent="0.25">
      <c r="J177" t="s">
        <v>137</v>
      </c>
      <c r="K177">
        <f t="shared" ca="1" si="10"/>
        <v>4</v>
      </c>
    </row>
    <row r="178" spans="10:11" x14ac:dyDescent="0.25">
      <c r="J178" t="s">
        <v>80</v>
      </c>
      <c r="K178">
        <f t="shared" ca="1" si="10"/>
        <v>7</v>
      </c>
    </row>
    <row r="179" spans="10:11" x14ac:dyDescent="0.25">
      <c r="J179" t="s">
        <v>119</v>
      </c>
      <c r="K179">
        <f t="shared" ca="1" si="10"/>
        <v>1</v>
      </c>
    </row>
    <row r="180" spans="10:11" x14ac:dyDescent="0.25">
      <c r="J180" t="s">
        <v>186</v>
      </c>
      <c r="K180">
        <f t="shared" ca="1" si="10"/>
        <v>5</v>
      </c>
    </row>
    <row r="181" spans="10:11" x14ac:dyDescent="0.25">
      <c r="J181" t="s">
        <v>185</v>
      </c>
      <c r="K181">
        <f t="shared" ca="1" si="10"/>
        <v>3</v>
      </c>
    </row>
    <row r="182" spans="10:11" x14ac:dyDescent="0.25">
      <c r="J182" t="s">
        <v>175</v>
      </c>
      <c r="K182">
        <f t="shared" ca="1" si="10"/>
        <v>5</v>
      </c>
    </row>
    <row r="183" spans="10:11" x14ac:dyDescent="0.25">
      <c r="J183" t="s">
        <v>29</v>
      </c>
      <c r="K183">
        <f t="shared" ca="1" si="10"/>
        <v>4</v>
      </c>
    </row>
    <row r="184" spans="10:11" x14ac:dyDescent="0.25">
      <c r="J184" t="s">
        <v>122</v>
      </c>
      <c r="K184">
        <f t="shared" ca="1" si="10"/>
        <v>8</v>
      </c>
    </row>
    <row r="185" spans="10:11" x14ac:dyDescent="0.25">
      <c r="J185" t="s">
        <v>96</v>
      </c>
      <c r="K185">
        <f t="shared" ca="1" si="10"/>
        <v>2</v>
      </c>
    </row>
    <row r="186" spans="10:11" x14ac:dyDescent="0.25">
      <c r="J186" t="s">
        <v>95</v>
      </c>
      <c r="K186">
        <f t="shared" ca="1" si="10"/>
        <v>4</v>
      </c>
    </row>
    <row r="187" spans="10:11" x14ac:dyDescent="0.25">
      <c r="J187" t="s">
        <v>73</v>
      </c>
      <c r="K187">
        <f t="shared" ca="1" si="10"/>
        <v>4</v>
      </c>
    </row>
    <row r="188" spans="10:11" x14ac:dyDescent="0.25">
      <c r="J188" t="s">
        <v>91</v>
      </c>
      <c r="K188">
        <f t="shared" ca="1" si="10"/>
        <v>10</v>
      </c>
    </row>
    <row r="189" spans="10:11" x14ac:dyDescent="0.25">
      <c r="J189" t="s">
        <v>141</v>
      </c>
      <c r="K189">
        <f t="shared" ca="1" si="10"/>
        <v>1</v>
      </c>
    </row>
    <row r="190" spans="10:11" x14ac:dyDescent="0.25">
      <c r="J190" t="s">
        <v>109</v>
      </c>
      <c r="K190">
        <f t="shared" ca="1" si="10"/>
        <v>5</v>
      </c>
    </row>
    <row r="192" spans="10:11" x14ac:dyDescent="0.25">
      <c r="J192" t="s">
        <v>32</v>
      </c>
      <c r="K192">
        <f ca="1">COUNTIF($M$1:$M$121,J192)</f>
        <v>2</v>
      </c>
    </row>
    <row r="193" spans="10:11" x14ac:dyDescent="0.25">
      <c r="J193" t="s">
        <v>33</v>
      </c>
      <c r="K193">
        <f t="shared" ref="K193:K198" ca="1" si="11">COUNTIF($M$1:$M$121,J193)</f>
        <v>11</v>
      </c>
    </row>
    <row r="194" spans="10:11" x14ac:dyDescent="0.25">
      <c r="J194" t="s">
        <v>34</v>
      </c>
      <c r="K194">
        <f t="shared" ca="1" si="11"/>
        <v>12</v>
      </c>
    </row>
    <row r="195" spans="10:11" x14ac:dyDescent="0.25">
      <c r="J195" t="s">
        <v>37</v>
      </c>
      <c r="K195">
        <f t="shared" ca="1" si="11"/>
        <v>16</v>
      </c>
    </row>
    <row r="196" spans="10:11" x14ac:dyDescent="0.25">
      <c r="J196" t="s">
        <v>36</v>
      </c>
      <c r="K196">
        <f t="shared" ca="1" si="11"/>
        <v>25</v>
      </c>
    </row>
    <row r="197" spans="10:11" x14ac:dyDescent="0.25">
      <c r="J197" t="s">
        <v>35</v>
      </c>
      <c r="K197">
        <f t="shared" ca="1" si="11"/>
        <v>22</v>
      </c>
    </row>
    <row r="198" spans="10:11" x14ac:dyDescent="0.25">
      <c r="J198" t="s">
        <v>38</v>
      </c>
      <c r="K198">
        <f t="shared" ca="1" si="11"/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6351-D624-4EBF-BBE7-099FEB6FEE02}">
  <dimension ref="A1:I101"/>
  <sheetViews>
    <sheetView tabSelected="1" workbookViewId="0">
      <selection activeCell="I3" sqref="I3"/>
    </sheetView>
  </sheetViews>
  <sheetFormatPr defaultRowHeight="15" x14ac:dyDescent="0.25"/>
  <cols>
    <col min="1" max="1" width="14" bestFit="1" customWidth="1"/>
    <col min="2" max="2" width="20" bestFit="1" customWidth="1"/>
    <col min="3" max="3" width="15.5703125" bestFit="1" customWidth="1"/>
    <col min="4" max="4" width="16.28515625" bestFit="1" customWidth="1"/>
    <col min="5" max="5" width="16.140625" bestFit="1" customWidth="1"/>
    <col min="6" max="6" width="18" bestFit="1" customWidth="1"/>
    <col min="7" max="7" width="12.140625" bestFit="1" customWidth="1"/>
    <col min="8" max="8" width="24.85546875" bestFit="1" customWidth="1"/>
    <col min="9" max="9" width="22.85546875" bestFit="1" customWidth="1"/>
    <col min="10" max="10" width="9.140625" customWidth="1"/>
  </cols>
  <sheetData>
    <row r="1" spans="1:9" s="1" customFormat="1" ht="19.5" thickBot="1" x14ac:dyDescent="0.3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32</v>
      </c>
      <c r="B2" t="s">
        <v>16</v>
      </c>
      <c r="C2" t="s">
        <v>43</v>
      </c>
      <c r="D2" t="s">
        <v>44</v>
      </c>
      <c r="E2" t="s">
        <v>49</v>
      </c>
      <c r="F2" t="s">
        <v>166</v>
      </c>
      <c r="G2" t="s">
        <v>51</v>
      </c>
      <c r="H2" t="s">
        <v>164</v>
      </c>
      <c r="I2" t="s">
        <v>93</v>
      </c>
    </row>
    <row r="3" spans="1:9" x14ac:dyDescent="0.25">
      <c r="A3" t="s">
        <v>33</v>
      </c>
      <c r="B3" t="s">
        <v>204</v>
      </c>
      <c r="C3" t="s">
        <v>39</v>
      </c>
      <c r="D3" t="s">
        <v>48</v>
      </c>
      <c r="E3" t="s">
        <v>148</v>
      </c>
      <c r="F3" t="s">
        <v>148</v>
      </c>
      <c r="G3" t="s">
        <v>52</v>
      </c>
      <c r="H3" t="s">
        <v>14</v>
      </c>
      <c r="I3" t="s">
        <v>88</v>
      </c>
    </row>
    <row r="4" spans="1:9" x14ac:dyDescent="0.25">
      <c r="A4" t="s">
        <v>34</v>
      </c>
      <c r="B4" t="s">
        <v>28</v>
      </c>
      <c r="C4" t="s">
        <v>41</v>
      </c>
      <c r="D4" t="s">
        <v>45</v>
      </c>
      <c r="E4" t="s">
        <v>177</v>
      </c>
      <c r="F4" t="s">
        <v>167</v>
      </c>
      <c r="G4" t="s">
        <v>53</v>
      </c>
      <c r="H4" t="s">
        <v>160</v>
      </c>
      <c r="I4" t="s">
        <v>83</v>
      </c>
    </row>
    <row r="5" spans="1:9" x14ac:dyDescent="0.25">
      <c r="A5" t="s">
        <v>37</v>
      </c>
      <c r="B5" t="s">
        <v>25</v>
      </c>
      <c r="C5" t="s">
        <v>149</v>
      </c>
      <c r="D5" t="s">
        <v>47</v>
      </c>
      <c r="E5" t="s">
        <v>176</v>
      </c>
      <c r="F5" t="s">
        <v>168</v>
      </c>
      <c r="G5" t="s">
        <v>54</v>
      </c>
      <c r="H5" t="s">
        <v>13</v>
      </c>
      <c r="I5" t="s">
        <v>107</v>
      </c>
    </row>
    <row r="6" spans="1:9" x14ac:dyDescent="0.25">
      <c r="A6" t="s">
        <v>36</v>
      </c>
      <c r="B6" t="s">
        <v>198</v>
      </c>
      <c r="C6" t="s">
        <v>42</v>
      </c>
      <c r="D6" t="s">
        <v>46</v>
      </c>
      <c r="E6" t="s">
        <v>55</v>
      </c>
      <c r="F6" t="s">
        <v>169</v>
      </c>
      <c r="G6" t="s">
        <v>55</v>
      </c>
      <c r="H6" t="s">
        <v>173</v>
      </c>
      <c r="I6" t="s">
        <v>82</v>
      </c>
    </row>
    <row r="7" spans="1:9" x14ac:dyDescent="0.25">
      <c r="A7" t="s">
        <v>35</v>
      </c>
      <c r="B7" t="s">
        <v>64</v>
      </c>
      <c r="C7" t="s">
        <v>170</v>
      </c>
      <c r="E7" t="s">
        <v>178</v>
      </c>
      <c r="F7" t="s">
        <v>201</v>
      </c>
      <c r="G7" t="s">
        <v>68</v>
      </c>
      <c r="H7" t="s">
        <v>179</v>
      </c>
      <c r="I7" t="s">
        <v>187</v>
      </c>
    </row>
    <row r="8" spans="1:9" x14ac:dyDescent="0.25">
      <c r="A8" t="s">
        <v>38</v>
      </c>
      <c r="B8" t="s">
        <v>17</v>
      </c>
      <c r="C8" t="s">
        <v>40</v>
      </c>
      <c r="H8" t="s">
        <v>156</v>
      </c>
      <c r="I8" t="s">
        <v>194</v>
      </c>
    </row>
    <row r="9" spans="1:9" x14ac:dyDescent="0.25">
      <c r="B9" t="s">
        <v>18</v>
      </c>
      <c r="H9" t="s">
        <v>59</v>
      </c>
      <c r="I9" t="s">
        <v>140</v>
      </c>
    </row>
    <row r="10" spans="1:9" x14ac:dyDescent="0.25">
      <c r="B10" t="s">
        <v>19</v>
      </c>
      <c r="H10" t="s">
        <v>172</v>
      </c>
      <c r="I10" t="s">
        <v>110</v>
      </c>
    </row>
    <row r="11" spans="1:9" x14ac:dyDescent="0.25">
      <c r="B11" t="s">
        <v>23</v>
      </c>
      <c r="H11" t="s">
        <v>159</v>
      </c>
      <c r="I11" t="s">
        <v>116</v>
      </c>
    </row>
    <row r="12" spans="1:9" x14ac:dyDescent="0.25">
      <c r="B12" t="s">
        <v>20</v>
      </c>
      <c r="H12" t="s">
        <v>123</v>
      </c>
      <c r="I12" t="s">
        <v>188</v>
      </c>
    </row>
    <row r="13" spans="1:9" x14ac:dyDescent="0.25">
      <c r="B13" t="s">
        <v>180</v>
      </c>
      <c r="H13" t="s">
        <v>62</v>
      </c>
      <c r="I13" t="s">
        <v>196</v>
      </c>
    </row>
    <row r="14" spans="1:9" x14ac:dyDescent="0.25">
      <c r="B14" t="s">
        <v>22</v>
      </c>
      <c r="H14" t="s">
        <v>155</v>
      </c>
      <c r="I14" t="s">
        <v>126</v>
      </c>
    </row>
    <row r="15" spans="1:9" x14ac:dyDescent="0.25">
      <c r="B15" t="s">
        <v>181</v>
      </c>
      <c r="H15" t="s">
        <v>15</v>
      </c>
      <c r="I15" t="s">
        <v>31</v>
      </c>
    </row>
    <row r="16" spans="1:9" x14ac:dyDescent="0.25">
      <c r="B16" t="s">
        <v>182</v>
      </c>
      <c r="H16" t="s">
        <v>153</v>
      </c>
      <c r="I16" t="s">
        <v>114</v>
      </c>
    </row>
    <row r="17" spans="2:9" x14ac:dyDescent="0.25">
      <c r="B17" t="s">
        <v>27</v>
      </c>
      <c r="H17" t="s">
        <v>158</v>
      </c>
      <c r="I17" t="s">
        <v>111</v>
      </c>
    </row>
    <row r="18" spans="2:9" x14ac:dyDescent="0.25">
      <c r="B18" t="s">
        <v>26</v>
      </c>
      <c r="H18" t="s">
        <v>171</v>
      </c>
      <c r="I18" t="s">
        <v>129</v>
      </c>
    </row>
    <row r="19" spans="2:9" x14ac:dyDescent="0.25">
      <c r="B19" t="s">
        <v>183</v>
      </c>
      <c r="H19" t="s">
        <v>61</v>
      </c>
      <c r="I19" t="s">
        <v>145</v>
      </c>
    </row>
    <row r="20" spans="2:9" x14ac:dyDescent="0.25">
      <c r="B20" t="s">
        <v>21</v>
      </c>
      <c r="H20" t="s">
        <v>151</v>
      </c>
      <c r="I20" t="s">
        <v>65</v>
      </c>
    </row>
    <row r="21" spans="2:9" x14ac:dyDescent="0.25">
      <c r="B21" t="s">
        <v>24</v>
      </c>
      <c r="H21" t="s">
        <v>50</v>
      </c>
      <c r="I21" t="s">
        <v>92</v>
      </c>
    </row>
    <row r="22" spans="2:9" x14ac:dyDescent="0.25">
      <c r="B22" t="s">
        <v>197</v>
      </c>
      <c r="H22" t="s">
        <v>58</v>
      </c>
      <c r="I22" t="s">
        <v>104</v>
      </c>
    </row>
    <row r="23" spans="2:9" x14ac:dyDescent="0.25">
      <c r="B23" t="s">
        <v>184</v>
      </c>
      <c r="H23" t="s">
        <v>67</v>
      </c>
      <c r="I23" t="s">
        <v>106</v>
      </c>
    </row>
    <row r="24" spans="2:9" x14ac:dyDescent="0.25">
      <c r="B24" t="s">
        <v>199</v>
      </c>
      <c r="H24" t="s">
        <v>161</v>
      </c>
      <c r="I24" t="s">
        <v>101</v>
      </c>
    </row>
    <row r="25" spans="2:9" x14ac:dyDescent="0.25">
      <c r="H25" t="s">
        <v>162</v>
      </c>
      <c r="I25" t="s">
        <v>78</v>
      </c>
    </row>
    <row r="26" spans="2:9" x14ac:dyDescent="0.25">
      <c r="H26" t="s">
        <v>163</v>
      </c>
      <c r="I26" t="s">
        <v>143</v>
      </c>
    </row>
    <row r="27" spans="2:9" x14ac:dyDescent="0.25">
      <c r="H27" t="s">
        <v>192</v>
      </c>
      <c r="I27" t="s">
        <v>193</v>
      </c>
    </row>
    <row r="28" spans="2:9" x14ac:dyDescent="0.25">
      <c r="H28" t="s">
        <v>203</v>
      </c>
      <c r="I28" t="s">
        <v>146</v>
      </c>
    </row>
    <row r="29" spans="2:9" x14ac:dyDescent="0.25">
      <c r="H29" t="s">
        <v>157</v>
      </c>
      <c r="I29" t="s">
        <v>121</v>
      </c>
    </row>
    <row r="30" spans="2:9" x14ac:dyDescent="0.25">
      <c r="H30" t="s">
        <v>60</v>
      </c>
      <c r="I30" t="s">
        <v>132</v>
      </c>
    </row>
    <row r="31" spans="2:9" x14ac:dyDescent="0.25">
      <c r="H31" t="s">
        <v>154</v>
      </c>
      <c r="I31" t="s">
        <v>115</v>
      </c>
    </row>
    <row r="32" spans="2:9" x14ac:dyDescent="0.25">
      <c r="I32" t="s">
        <v>70</v>
      </c>
    </row>
    <row r="33" spans="9:9" x14ac:dyDescent="0.25">
      <c r="I33" t="s">
        <v>123</v>
      </c>
    </row>
    <row r="34" spans="9:9" x14ac:dyDescent="0.25">
      <c r="I34" t="s">
        <v>131</v>
      </c>
    </row>
    <row r="35" spans="9:9" x14ac:dyDescent="0.25">
      <c r="I35" t="s">
        <v>103</v>
      </c>
    </row>
    <row r="36" spans="9:9" x14ac:dyDescent="0.25">
      <c r="I36" t="s">
        <v>102</v>
      </c>
    </row>
    <row r="37" spans="9:9" x14ac:dyDescent="0.25">
      <c r="I37" t="s">
        <v>189</v>
      </c>
    </row>
    <row r="38" spans="9:9" x14ac:dyDescent="0.25">
      <c r="I38" t="s">
        <v>117</v>
      </c>
    </row>
    <row r="39" spans="9:9" x14ac:dyDescent="0.25">
      <c r="I39" t="s">
        <v>86</v>
      </c>
    </row>
    <row r="40" spans="9:9" x14ac:dyDescent="0.25">
      <c r="I40" t="s">
        <v>74</v>
      </c>
    </row>
    <row r="41" spans="9:9" x14ac:dyDescent="0.25">
      <c r="I41" t="s">
        <v>94</v>
      </c>
    </row>
    <row r="42" spans="9:9" x14ac:dyDescent="0.25">
      <c r="I42" t="s">
        <v>144</v>
      </c>
    </row>
    <row r="43" spans="9:9" x14ac:dyDescent="0.25">
      <c r="I43" t="s">
        <v>87</v>
      </c>
    </row>
    <row r="44" spans="9:9" x14ac:dyDescent="0.25">
      <c r="I44" t="s">
        <v>98</v>
      </c>
    </row>
    <row r="45" spans="9:9" x14ac:dyDescent="0.25">
      <c r="I45" t="s">
        <v>97</v>
      </c>
    </row>
    <row r="46" spans="9:9" x14ac:dyDescent="0.25">
      <c r="I46" t="s">
        <v>66</v>
      </c>
    </row>
    <row r="47" spans="9:9" x14ac:dyDescent="0.25">
      <c r="I47" t="s">
        <v>190</v>
      </c>
    </row>
    <row r="48" spans="9:9" x14ac:dyDescent="0.25">
      <c r="I48" t="s">
        <v>120</v>
      </c>
    </row>
    <row r="49" spans="9:9" x14ac:dyDescent="0.25">
      <c r="I49" t="s">
        <v>152</v>
      </c>
    </row>
    <row r="50" spans="9:9" x14ac:dyDescent="0.25">
      <c r="I50" t="s">
        <v>125</v>
      </c>
    </row>
    <row r="51" spans="9:9" x14ac:dyDescent="0.25">
      <c r="I51" t="s">
        <v>118</v>
      </c>
    </row>
    <row r="52" spans="9:9" x14ac:dyDescent="0.25">
      <c r="I52" t="s">
        <v>112</v>
      </c>
    </row>
    <row r="53" spans="9:9" x14ac:dyDescent="0.25">
      <c r="I53" t="s">
        <v>113</v>
      </c>
    </row>
    <row r="54" spans="9:9" x14ac:dyDescent="0.25">
      <c r="I54" t="s">
        <v>135</v>
      </c>
    </row>
    <row r="55" spans="9:9" x14ac:dyDescent="0.25">
      <c r="I55" t="s">
        <v>127</v>
      </c>
    </row>
    <row r="56" spans="9:9" x14ac:dyDescent="0.25">
      <c r="I56" t="s">
        <v>30</v>
      </c>
    </row>
    <row r="57" spans="9:9" x14ac:dyDescent="0.25">
      <c r="I57" t="s">
        <v>75</v>
      </c>
    </row>
    <row r="58" spans="9:9" x14ac:dyDescent="0.25">
      <c r="I58" t="s">
        <v>130</v>
      </c>
    </row>
    <row r="59" spans="9:9" x14ac:dyDescent="0.25">
      <c r="I59" t="s">
        <v>105</v>
      </c>
    </row>
    <row r="60" spans="9:9" x14ac:dyDescent="0.25">
      <c r="I60" t="s">
        <v>128</v>
      </c>
    </row>
    <row r="61" spans="9:9" x14ac:dyDescent="0.25">
      <c r="I61" t="s">
        <v>89</v>
      </c>
    </row>
    <row r="62" spans="9:9" x14ac:dyDescent="0.25">
      <c r="I62" t="s">
        <v>174</v>
      </c>
    </row>
    <row r="63" spans="9:9" x14ac:dyDescent="0.25">
      <c r="I63" t="s">
        <v>124</v>
      </c>
    </row>
    <row r="64" spans="9:9" x14ac:dyDescent="0.25">
      <c r="I64" t="s">
        <v>195</v>
      </c>
    </row>
    <row r="65" spans="9:9" x14ac:dyDescent="0.25">
      <c r="I65" t="s">
        <v>76</v>
      </c>
    </row>
    <row r="66" spans="9:9" x14ac:dyDescent="0.25">
      <c r="I66" t="s">
        <v>191</v>
      </c>
    </row>
    <row r="67" spans="9:9" x14ac:dyDescent="0.25">
      <c r="I67" t="s">
        <v>90</v>
      </c>
    </row>
    <row r="68" spans="9:9" x14ac:dyDescent="0.25">
      <c r="I68" t="s">
        <v>63</v>
      </c>
    </row>
    <row r="69" spans="9:9" x14ac:dyDescent="0.25">
      <c r="I69" t="s">
        <v>79</v>
      </c>
    </row>
    <row r="70" spans="9:9" x14ac:dyDescent="0.25">
      <c r="I70" t="s">
        <v>84</v>
      </c>
    </row>
    <row r="71" spans="9:9" x14ac:dyDescent="0.25">
      <c r="I71" t="s">
        <v>147</v>
      </c>
    </row>
    <row r="72" spans="9:9" x14ac:dyDescent="0.25">
      <c r="I72" t="s">
        <v>56</v>
      </c>
    </row>
    <row r="73" spans="9:9" x14ac:dyDescent="0.25">
      <c r="I73" t="s">
        <v>71</v>
      </c>
    </row>
    <row r="74" spans="9:9" x14ac:dyDescent="0.25">
      <c r="I74" t="s">
        <v>77</v>
      </c>
    </row>
    <row r="75" spans="9:9" x14ac:dyDescent="0.25">
      <c r="I75" t="s">
        <v>99</v>
      </c>
    </row>
    <row r="76" spans="9:9" x14ac:dyDescent="0.25">
      <c r="I76" t="s">
        <v>72</v>
      </c>
    </row>
    <row r="77" spans="9:9" x14ac:dyDescent="0.25">
      <c r="I77" t="s">
        <v>100</v>
      </c>
    </row>
    <row r="78" spans="9:9" x14ac:dyDescent="0.25">
      <c r="I78" t="s">
        <v>138</v>
      </c>
    </row>
    <row r="79" spans="9:9" x14ac:dyDescent="0.25">
      <c r="I79" t="s">
        <v>69</v>
      </c>
    </row>
    <row r="80" spans="9:9" x14ac:dyDescent="0.25">
      <c r="I80" t="s">
        <v>142</v>
      </c>
    </row>
    <row r="81" spans="9:9" x14ac:dyDescent="0.25">
      <c r="I81" t="s">
        <v>136</v>
      </c>
    </row>
    <row r="82" spans="9:9" x14ac:dyDescent="0.25">
      <c r="I82" t="s">
        <v>81</v>
      </c>
    </row>
    <row r="83" spans="9:9" x14ac:dyDescent="0.25">
      <c r="I83" t="s">
        <v>134</v>
      </c>
    </row>
    <row r="84" spans="9:9" x14ac:dyDescent="0.25">
      <c r="I84" t="s">
        <v>133</v>
      </c>
    </row>
    <row r="85" spans="9:9" x14ac:dyDescent="0.25">
      <c r="I85" t="s">
        <v>57</v>
      </c>
    </row>
    <row r="86" spans="9:9" x14ac:dyDescent="0.25">
      <c r="I86" t="s">
        <v>85</v>
      </c>
    </row>
    <row r="87" spans="9:9" x14ac:dyDescent="0.25">
      <c r="I87" t="s">
        <v>108</v>
      </c>
    </row>
    <row r="88" spans="9:9" x14ac:dyDescent="0.25">
      <c r="I88" t="s">
        <v>137</v>
      </c>
    </row>
    <row r="89" spans="9:9" x14ac:dyDescent="0.25">
      <c r="I89" t="s">
        <v>80</v>
      </c>
    </row>
    <row r="90" spans="9:9" x14ac:dyDescent="0.25">
      <c r="I90" t="s">
        <v>205</v>
      </c>
    </row>
    <row r="91" spans="9:9" x14ac:dyDescent="0.25">
      <c r="I91" t="s">
        <v>186</v>
      </c>
    </row>
    <row r="92" spans="9:9" x14ac:dyDescent="0.25">
      <c r="I92" t="s">
        <v>185</v>
      </c>
    </row>
    <row r="93" spans="9:9" x14ac:dyDescent="0.25">
      <c r="I93" t="s">
        <v>175</v>
      </c>
    </row>
    <row r="94" spans="9:9" x14ac:dyDescent="0.25">
      <c r="I94" t="s">
        <v>29</v>
      </c>
    </row>
    <row r="95" spans="9:9" x14ac:dyDescent="0.25">
      <c r="I95" t="s">
        <v>122</v>
      </c>
    </row>
    <row r="96" spans="9:9" x14ac:dyDescent="0.25">
      <c r="I96" t="s">
        <v>96</v>
      </c>
    </row>
    <row r="97" spans="9:9" x14ac:dyDescent="0.25">
      <c r="I97" t="s">
        <v>95</v>
      </c>
    </row>
    <row r="98" spans="9:9" x14ac:dyDescent="0.25">
      <c r="I98" t="s">
        <v>73</v>
      </c>
    </row>
    <row r="99" spans="9:9" x14ac:dyDescent="0.25">
      <c r="I99" t="s">
        <v>91</v>
      </c>
    </row>
    <row r="100" spans="9:9" x14ac:dyDescent="0.25">
      <c r="I100" t="s">
        <v>141</v>
      </c>
    </row>
    <row r="101" spans="9:9" x14ac:dyDescent="0.25">
      <c r="I101" t="s">
        <v>109</v>
      </c>
    </row>
  </sheetData>
  <sortState xmlns:xlrd2="http://schemas.microsoft.com/office/spreadsheetml/2017/richdata2" ref="B2:B24">
    <sortCondition ref="B2:B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722C-34CF-455F-A06C-D34BAD439372}">
  <dimension ref="A1:O198"/>
  <sheetViews>
    <sheetView topLeftCell="A69" workbookViewId="0">
      <selection activeCell="L65" sqref="L65"/>
    </sheetView>
  </sheetViews>
  <sheetFormatPr defaultRowHeight="15" x14ac:dyDescent="0.25"/>
  <cols>
    <col min="1" max="1" width="24.85546875" bestFit="1" customWidth="1"/>
    <col min="2" max="2" width="3" bestFit="1" customWidth="1"/>
    <col min="3" max="3" width="15.5703125" customWidth="1"/>
    <col min="4" max="4" width="11.85546875" bestFit="1" customWidth="1"/>
    <col min="5" max="5" width="18.42578125" bestFit="1" customWidth="1"/>
    <col min="6" max="6" width="20" bestFit="1" customWidth="1"/>
    <col min="7" max="7" width="15.5703125" bestFit="1" customWidth="1"/>
    <col min="8" max="8" width="16.28515625" bestFit="1" customWidth="1"/>
    <col min="9" max="9" width="16.140625" bestFit="1" customWidth="1"/>
    <col min="10" max="10" width="18" bestFit="1" customWidth="1"/>
    <col min="11" max="11" width="12.140625" bestFit="1" customWidth="1"/>
    <col min="12" max="12" width="24.85546875" bestFit="1" customWidth="1"/>
    <col min="13" max="15" width="23.42578125" bestFit="1" customWidth="1"/>
  </cols>
  <sheetData>
    <row r="1" spans="1:15" s="1" customFormat="1" ht="19.5" thickBot="1" x14ac:dyDescent="0.35">
      <c r="A1" s="1" t="s">
        <v>200</v>
      </c>
      <c r="B1" s="1" t="s">
        <v>150</v>
      </c>
      <c r="C1" s="1" t="s">
        <v>0</v>
      </c>
      <c r="D1" s="1" t="s">
        <v>202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139</v>
      </c>
    </row>
    <row r="2" spans="1:15" x14ac:dyDescent="0.25">
      <c r="A2" t="s">
        <v>16</v>
      </c>
      <c r="B2">
        <f>COUNTIF($F$1:$F$121,A2)</f>
        <v>5</v>
      </c>
      <c r="C2" s="2">
        <v>1.25</v>
      </c>
      <c r="D2" t="s">
        <v>35</v>
      </c>
      <c r="F2" t="s">
        <v>64</v>
      </c>
      <c r="G2" t="s">
        <v>42</v>
      </c>
      <c r="H2" t="s">
        <v>45</v>
      </c>
      <c r="I2" t="s">
        <v>49</v>
      </c>
      <c r="J2" t="s">
        <v>201</v>
      </c>
      <c r="K2" t="s">
        <v>53</v>
      </c>
      <c r="L2" t="s">
        <v>61</v>
      </c>
      <c r="M2" t="s">
        <v>118</v>
      </c>
      <c r="N2" t="s">
        <v>191</v>
      </c>
      <c r="O2" t="s">
        <v>191</v>
      </c>
    </row>
    <row r="3" spans="1:15" x14ac:dyDescent="0.25">
      <c r="A3" t="s">
        <v>28</v>
      </c>
      <c r="B3">
        <f t="shared" ref="B3:B23" si="0">COUNTIF($F$1:$F$121,A3)</f>
        <v>6</v>
      </c>
      <c r="C3" s="2">
        <v>6</v>
      </c>
      <c r="D3" t="s">
        <v>34</v>
      </c>
      <c r="F3" t="s">
        <v>183</v>
      </c>
      <c r="G3" t="s">
        <v>42</v>
      </c>
      <c r="H3" t="s">
        <v>48</v>
      </c>
      <c r="I3" t="s">
        <v>177</v>
      </c>
      <c r="J3" t="s">
        <v>201</v>
      </c>
      <c r="K3" t="s">
        <v>53</v>
      </c>
      <c r="L3" t="s">
        <v>58</v>
      </c>
      <c r="M3" t="s">
        <v>143</v>
      </c>
      <c r="N3" t="s">
        <v>77</v>
      </c>
      <c r="O3" t="s">
        <v>174</v>
      </c>
    </row>
    <row r="4" spans="1:15" x14ac:dyDescent="0.25">
      <c r="A4" t="s">
        <v>25</v>
      </c>
      <c r="B4">
        <f t="shared" si="0"/>
        <v>4</v>
      </c>
      <c r="C4" s="2"/>
      <c r="F4" t="s">
        <v>16</v>
      </c>
      <c r="G4" t="s">
        <v>39</v>
      </c>
      <c r="H4" t="s">
        <v>45</v>
      </c>
      <c r="I4" t="s">
        <v>176</v>
      </c>
      <c r="J4" t="s">
        <v>148</v>
      </c>
      <c r="K4" t="s">
        <v>51</v>
      </c>
      <c r="L4" t="s">
        <v>172</v>
      </c>
      <c r="M4" t="s">
        <v>106</v>
      </c>
      <c r="N4" t="s">
        <v>93</v>
      </c>
      <c r="O4" t="s">
        <v>81</v>
      </c>
    </row>
    <row r="5" spans="1:15" x14ac:dyDescent="0.25">
      <c r="A5" t="s">
        <v>198</v>
      </c>
      <c r="B5">
        <f t="shared" si="0"/>
        <v>6</v>
      </c>
      <c r="C5" s="2"/>
      <c r="F5" t="s">
        <v>64</v>
      </c>
      <c r="G5" t="s">
        <v>170</v>
      </c>
      <c r="H5" t="s">
        <v>45</v>
      </c>
      <c r="I5" t="s">
        <v>177</v>
      </c>
      <c r="J5" t="s">
        <v>167</v>
      </c>
      <c r="K5" t="s">
        <v>54</v>
      </c>
      <c r="L5" t="s">
        <v>15</v>
      </c>
      <c r="M5" t="s">
        <v>147</v>
      </c>
      <c r="N5" t="s">
        <v>90</v>
      </c>
      <c r="O5" t="s">
        <v>113</v>
      </c>
    </row>
    <row r="6" spans="1:15" x14ac:dyDescent="0.25">
      <c r="A6" t="s">
        <v>64</v>
      </c>
      <c r="B6">
        <f t="shared" si="0"/>
        <v>16</v>
      </c>
      <c r="C6" s="2"/>
      <c r="F6" t="s">
        <v>19</v>
      </c>
      <c r="G6" t="s">
        <v>43</v>
      </c>
      <c r="H6" t="s">
        <v>47</v>
      </c>
      <c r="I6" t="s">
        <v>49</v>
      </c>
      <c r="J6" t="s">
        <v>169</v>
      </c>
      <c r="K6" t="s">
        <v>53</v>
      </c>
      <c r="L6" t="s">
        <v>161</v>
      </c>
      <c r="M6" t="s">
        <v>79</v>
      </c>
      <c r="N6" t="s">
        <v>122</v>
      </c>
      <c r="O6" t="s">
        <v>127</v>
      </c>
    </row>
    <row r="7" spans="1:15" x14ac:dyDescent="0.25">
      <c r="A7" t="s">
        <v>17</v>
      </c>
      <c r="B7">
        <f t="shared" si="0"/>
        <v>4</v>
      </c>
      <c r="C7" s="2"/>
      <c r="F7" t="s">
        <v>184</v>
      </c>
      <c r="G7" t="s">
        <v>42</v>
      </c>
      <c r="H7" t="s">
        <v>45</v>
      </c>
      <c r="I7" t="s">
        <v>178</v>
      </c>
      <c r="J7" t="s">
        <v>169</v>
      </c>
      <c r="K7" t="s">
        <v>55</v>
      </c>
      <c r="L7" t="s">
        <v>50</v>
      </c>
      <c r="M7" t="s">
        <v>74</v>
      </c>
      <c r="N7" t="s">
        <v>89</v>
      </c>
      <c r="O7" t="s">
        <v>118</v>
      </c>
    </row>
    <row r="8" spans="1:15" x14ac:dyDescent="0.25">
      <c r="A8" t="s">
        <v>18</v>
      </c>
      <c r="B8">
        <f t="shared" si="0"/>
        <v>8</v>
      </c>
      <c r="C8" s="2"/>
      <c r="F8" t="s">
        <v>22</v>
      </c>
      <c r="G8" t="s">
        <v>42</v>
      </c>
      <c r="H8" t="s">
        <v>47</v>
      </c>
      <c r="I8" t="s">
        <v>177</v>
      </c>
      <c r="J8" t="s">
        <v>148</v>
      </c>
      <c r="K8" t="s">
        <v>55</v>
      </c>
      <c r="L8" t="s">
        <v>60</v>
      </c>
      <c r="M8" t="s">
        <v>130</v>
      </c>
      <c r="N8" t="s">
        <v>82</v>
      </c>
      <c r="O8" t="s">
        <v>65</v>
      </c>
    </row>
    <row r="9" spans="1:15" x14ac:dyDescent="0.25">
      <c r="A9" t="s">
        <v>19</v>
      </c>
      <c r="B9">
        <f t="shared" si="0"/>
        <v>5</v>
      </c>
      <c r="C9" s="2">
        <v>1.0084033613445378</v>
      </c>
      <c r="D9" t="s">
        <v>38</v>
      </c>
      <c r="F9" t="s">
        <v>64</v>
      </c>
      <c r="G9" t="s">
        <v>39</v>
      </c>
      <c r="H9" t="s">
        <v>45</v>
      </c>
      <c r="I9" t="s">
        <v>177</v>
      </c>
      <c r="J9" t="s">
        <v>201</v>
      </c>
      <c r="K9" t="s">
        <v>53</v>
      </c>
      <c r="L9" t="s">
        <v>160</v>
      </c>
      <c r="M9" t="s">
        <v>140</v>
      </c>
      <c r="N9" t="s">
        <v>190</v>
      </c>
      <c r="O9" t="s">
        <v>92</v>
      </c>
    </row>
    <row r="10" spans="1:15" x14ac:dyDescent="0.25">
      <c r="A10" t="s">
        <v>23</v>
      </c>
      <c r="B10">
        <f t="shared" si="0"/>
        <v>7</v>
      </c>
      <c r="C10" s="2">
        <v>3</v>
      </c>
      <c r="D10" t="s">
        <v>38</v>
      </c>
      <c r="F10" t="s">
        <v>23</v>
      </c>
      <c r="G10" t="s">
        <v>170</v>
      </c>
      <c r="H10" t="s">
        <v>45</v>
      </c>
      <c r="I10" t="s">
        <v>55</v>
      </c>
      <c r="J10" t="s">
        <v>169</v>
      </c>
      <c r="K10" t="s">
        <v>52</v>
      </c>
      <c r="L10" t="s">
        <v>164</v>
      </c>
      <c r="M10" t="s">
        <v>90</v>
      </c>
      <c r="N10" t="s">
        <v>114</v>
      </c>
      <c r="O10" t="s">
        <v>81</v>
      </c>
    </row>
    <row r="11" spans="1:15" x14ac:dyDescent="0.25">
      <c r="A11" t="s">
        <v>20</v>
      </c>
      <c r="B11">
        <f t="shared" si="0"/>
        <v>3</v>
      </c>
      <c r="C11" s="2"/>
      <c r="F11" t="s">
        <v>21</v>
      </c>
      <c r="G11" t="s">
        <v>149</v>
      </c>
      <c r="H11" t="s">
        <v>47</v>
      </c>
      <c r="I11" t="s">
        <v>55</v>
      </c>
      <c r="J11" t="s">
        <v>148</v>
      </c>
      <c r="K11" t="s">
        <v>55</v>
      </c>
      <c r="L11" t="s">
        <v>14</v>
      </c>
      <c r="M11" t="s">
        <v>80</v>
      </c>
      <c r="N11" t="s">
        <v>126</v>
      </c>
      <c r="O11" t="s">
        <v>105</v>
      </c>
    </row>
    <row r="12" spans="1:15" x14ac:dyDescent="0.25">
      <c r="A12" t="s">
        <v>180</v>
      </c>
      <c r="B12">
        <f t="shared" si="0"/>
        <v>13</v>
      </c>
      <c r="C12" s="2"/>
      <c r="F12" t="s">
        <v>183</v>
      </c>
      <c r="G12" t="s">
        <v>170</v>
      </c>
      <c r="H12" t="s">
        <v>47</v>
      </c>
      <c r="I12" t="s">
        <v>176</v>
      </c>
      <c r="J12" t="s">
        <v>169</v>
      </c>
      <c r="K12" t="s">
        <v>51</v>
      </c>
      <c r="L12" t="s">
        <v>67</v>
      </c>
      <c r="M12" t="s">
        <v>78</v>
      </c>
      <c r="N12" t="s">
        <v>113</v>
      </c>
      <c r="O12" t="s">
        <v>128</v>
      </c>
    </row>
    <row r="13" spans="1:15" x14ac:dyDescent="0.25">
      <c r="A13" t="s">
        <v>22</v>
      </c>
      <c r="B13">
        <f t="shared" si="0"/>
        <v>9</v>
      </c>
      <c r="C13" s="2">
        <v>1.5584415584415585</v>
      </c>
      <c r="D13" t="s">
        <v>36</v>
      </c>
      <c r="F13" t="s">
        <v>21</v>
      </c>
      <c r="G13" t="s">
        <v>42</v>
      </c>
      <c r="H13" t="s">
        <v>48</v>
      </c>
      <c r="I13" t="s">
        <v>177</v>
      </c>
      <c r="J13" t="s">
        <v>169</v>
      </c>
      <c r="K13" t="s">
        <v>53</v>
      </c>
      <c r="L13" t="s">
        <v>13</v>
      </c>
      <c r="M13" t="s">
        <v>96</v>
      </c>
      <c r="N13" t="s">
        <v>100</v>
      </c>
      <c r="O13" t="s">
        <v>69</v>
      </c>
    </row>
    <row r="14" spans="1:15" x14ac:dyDescent="0.25">
      <c r="A14" t="s">
        <v>181</v>
      </c>
      <c r="B14">
        <f t="shared" si="0"/>
        <v>4</v>
      </c>
      <c r="C14" s="2"/>
      <c r="F14" t="s">
        <v>16</v>
      </c>
      <c r="G14" t="s">
        <v>42</v>
      </c>
      <c r="H14" t="s">
        <v>45</v>
      </c>
      <c r="I14" t="s">
        <v>176</v>
      </c>
      <c r="J14" t="s">
        <v>148</v>
      </c>
      <c r="K14" t="s">
        <v>52</v>
      </c>
      <c r="L14" t="s">
        <v>58</v>
      </c>
      <c r="M14" t="s">
        <v>30</v>
      </c>
      <c r="N14" t="s">
        <v>77</v>
      </c>
      <c r="O14" t="s">
        <v>137</v>
      </c>
    </row>
    <row r="15" spans="1:15" x14ac:dyDescent="0.25">
      <c r="A15" t="s">
        <v>182</v>
      </c>
      <c r="B15">
        <f t="shared" si="0"/>
        <v>2</v>
      </c>
      <c r="C15" s="2">
        <v>4.615384615384615</v>
      </c>
      <c r="D15" t="s">
        <v>38</v>
      </c>
      <c r="F15" t="s">
        <v>24</v>
      </c>
      <c r="G15" t="s">
        <v>170</v>
      </c>
      <c r="H15" t="s">
        <v>45</v>
      </c>
      <c r="I15" t="s">
        <v>148</v>
      </c>
      <c r="J15" t="s">
        <v>169</v>
      </c>
      <c r="K15" t="s">
        <v>68</v>
      </c>
      <c r="L15" t="s">
        <v>67</v>
      </c>
      <c r="M15" t="s">
        <v>65</v>
      </c>
      <c r="N15" t="s">
        <v>78</v>
      </c>
      <c r="O15" t="s">
        <v>108</v>
      </c>
    </row>
    <row r="16" spans="1:15" x14ac:dyDescent="0.25">
      <c r="A16" t="s">
        <v>27</v>
      </c>
      <c r="B16">
        <f t="shared" si="0"/>
        <v>0</v>
      </c>
      <c r="C16" s="2"/>
      <c r="F16" t="s">
        <v>18</v>
      </c>
      <c r="G16" t="s">
        <v>39</v>
      </c>
      <c r="H16" t="s">
        <v>48</v>
      </c>
      <c r="I16" t="s">
        <v>148</v>
      </c>
      <c r="J16" t="s">
        <v>168</v>
      </c>
      <c r="K16" t="s">
        <v>51</v>
      </c>
      <c r="L16" t="s">
        <v>153</v>
      </c>
      <c r="M16" t="s">
        <v>74</v>
      </c>
      <c r="N16" t="s">
        <v>193</v>
      </c>
      <c r="O16" t="s">
        <v>83</v>
      </c>
    </row>
    <row r="17" spans="1:15" x14ac:dyDescent="0.25">
      <c r="A17" t="s">
        <v>26</v>
      </c>
      <c r="B17">
        <f t="shared" si="0"/>
        <v>4</v>
      </c>
      <c r="C17" s="2"/>
      <c r="F17" t="s">
        <v>21</v>
      </c>
      <c r="G17" t="s">
        <v>170</v>
      </c>
      <c r="H17" t="s">
        <v>48</v>
      </c>
      <c r="I17" t="s">
        <v>177</v>
      </c>
      <c r="J17" t="s">
        <v>201</v>
      </c>
      <c r="K17" t="s">
        <v>54</v>
      </c>
      <c r="L17" t="s">
        <v>173</v>
      </c>
      <c r="M17" t="s">
        <v>108</v>
      </c>
      <c r="N17" t="s">
        <v>74</v>
      </c>
      <c r="O17" t="s">
        <v>131</v>
      </c>
    </row>
    <row r="18" spans="1:15" x14ac:dyDescent="0.25">
      <c r="A18" t="s">
        <v>183</v>
      </c>
      <c r="B18">
        <f t="shared" si="0"/>
        <v>2</v>
      </c>
      <c r="C18" s="2"/>
      <c r="F18" t="s">
        <v>18</v>
      </c>
      <c r="G18" t="s">
        <v>42</v>
      </c>
      <c r="H18" t="s">
        <v>47</v>
      </c>
      <c r="I18" t="s">
        <v>177</v>
      </c>
      <c r="J18" t="s">
        <v>168</v>
      </c>
      <c r="K18" t="s">
        <v>53</v>
      </c>
      <c r="L18" t="s">
        <v>156</v>
      </c>
      <c r="M18" t="s">
        <v>93</v>
      </c>
      <c r="N18" t="s">
        <v>132</v>
      </c>
      <c r="O18" t="s">
        <v>82</v>
      </c>
    </row>
    <row r="19" spans="1:15" x14ac:dyDescent="0.25">
      <c r="A19" t="s">
        <v>21</v>
      </c>
      <c r="B19">
        <f t="shared" si="0"/>
        <v>13</v>
      </c>
      <c r="C19" s="2"/>
      <c r="F19" t="s">
        <v>20</v>
      </c>
      <c r="G19" t="s">
        <v>39</v>
      </c>
      <c r="H19" t="s">
        <v>45</v>
      </c>
      <c r="I19" t="s">
        <v>148</v>
      </c>
      <c r="J19" t="s">
        <v>169</v>
      </c>
      <c r="K19" t="s">
        <v>53</v>
      </c>
      <c r="L19" t="s">
        <v>164</v>
      </c>
      <c r="M19" t="s">
        <v>128</v>
      </c>
      <c r="N19" t="s">
        <v>131</v>
      </c>
      <c r="O19" t="s">
        <v>56</v>
      </c>
    </row>
    <row r="20" spans="1:15" x14ac:dyDescent="0.25">
      <c r="A20" t="s">
        <v>24</v>
      </c>
      <c r="B20">
        <f t="shared" si="0"/>
        <v>2</v>
      </c>
      <c r="C20" s="2">
        <v>5</v>
      </c>
      <c r="D20" t="s">
        <v>36</v>
      </c>
      <c r="F20" t="s">
        <v>180</v>
      </c>
      <c r="G20" t="s">
        <v>170</v>
      </c>
      <c r="H20" t="s">
        <v>47</v>
      </c>
      <c r="I20" t="s">
        <v>49</v>
      </c>
      <c r="J20" t="s">
        <v>168</v>
      </c>
      <c r="K20" t="s">
        <v>52</v>
      </c>
      <c r="L20" t="s">
        <v>153</v>
      </c>
      <c r="M20" t="s">
        <v>189</v>
      </c>
      <c r="N20" t="s">
        <v>133</v>
      </c>
      <c r="O20" t="s">
        <v>115</v>
      </c>
    </row>
    <row r="21" spans="1:15" x14ac:dyDescent="0.25">
      <c r="A21" t="s">
        <v>197</v>
      </c>
      <c r="B21">
        <f t="shared" si="0"/>
        <v>2</v>
      </c>
      <c r="C21" s="2"/>
      <c r="F21" t="s">
        <v>18</v>
      </c>
      <c r="G21" t="s">
        <v>39</v>
      </c>
      <c r="H21" t="s">
        <v>44</v>
      </c>
      <c r="I21" t="s">
        <v>177</v>
      </c>
      <c r="J21" t="s">
        <v>169</v>
      </c>
      <c r="K21" t="s">
        <v>52</v>
      </c>
      <c r="L21" t="s">
        <v>58</v>
      </c>
      <c r="M21" t="s">
        <v>87</v>
      </c>
      <c r="N21" t="s">
        <v>79</v>
      </c>
      <c r="O21" t="s">
        <v>132</v>
      </c>
    </row>
    <row r="22" spans="1:15" x14ac:dyDescent="0.25">
      <c r="A22" t="s">
        <v>184</v>
      </c>
      <c r="B22">
        <f t="shared" si="0"/>
        <v>1</v>
      </c>
      <c r="C22" s="2"/>
      <c r="F22" t="s">
        <v>16</v>
      </c>
      <c r="G22" t="s">
        <v>43</v>
      </c>
      <c r="H22" t="s">
        <v>47</v>
      </c>
      <c r="I22" t="s">
        <v>177</v>
      </c>
      <c r="J22" t="s">
        <v>169</v>
      </c>
      <c r="K22" t="s">
        <v>52</v>
      </c>
      <c r="L22" t="s">
        <v>160</v>
      </c>
      <c r="M22" t="s">
        <v>72</v>
      </c>
      <c r="N22" t="s">
        <v>83</v>
      </c>
      <c r="O22" t="s">
        <v>112</v>
      </c>
    </row>
    <row r="23" spans="1:15" x14ac:dyDescent="0.25">
      <c r="A23" t="s">
        <v>199</v>
      </c>
      <c r="B23">
        <f t="shared" si="0"/>
        <v>4</v>
      </c>
      <c r="C23" s="2"/>
      <c r="F23" t="s">
        <v>181</v>
      </c>
      <c r="G23" t="s">
        <v>43</v>
      </c>
      <c r="H23" t="s">
        <v>47</v>
      </c>
      <c r="I23" t="s">
        <v>55</v>
      </c>
      <c r="J23" t="s">
        <v>167</v>
      </c>
      <c r="K23" t="s">
        <v>54</v>
      </c>
      <c r="L23" t="s">
        <v>157</v>
      </c>
      <c r="M23" t="s">
        <v>63</v>
      </c>
      <c r="N23" t="s">
        <v>81</v>
      </c>
      <c r="O23" t="s">
        <v>31</v>
      </c>
    </row>
    <row r="24" spans="1:15" x14ac:dyDescent="0.25">
      <c r="C24" s="2"/>
      <c r="F24" t="s">
        <v>17</v>
      </c>
      <c r="G24" t="s">
        <v>39</v>
      </c>
      <c r="H24" t="s">
        <v>48</v>
      </c>
      <c r="I24" t="s">
        <v>176</v>
      </c>
      <c r="J24" t="s">
        <v>169</v>
      </c>
      <c r="K24" t="s">
        <v>55</v>
      </c>
      <c r="L24" t="s">
        <v>155</v>
      </c>
      <c r="M24" t="s">
        <v>93</v>
      </c>
      <c r="N24" t="s">
        <v>30</v>
      </c>
      <c r="O24" t="s">
        <v>118</v>
      </c>
    </row>
    <row r="25" spans="1:15" x14ac:dyDescent="0.25">
      <c r="A25" t="s">
        <v>43</v>
      </c>
      <c r="B25">
        <f>COUNTIF($G$1:$G$121,A25)</f>
        <v>10</v>
      </c>
      <c r="C25" s="2">
        <v>2.6666666666666665</v>
      </c>
      <c r="D25" t="s">
        <v>38</v>
      </c>
      <c r="F25" t="s">
        <v>197</v>
      </c>
      <c r="G25" t="s">
        <v>149</v>
      </c>
      <c r="H25" t="s">
        <v>46</v>
      </c>
      <c r="I25" t="s">
        <v>177</v>
      </c>
      <c r="J25" t="s">
        <v>169</v>
      </c>
      <c r="K25" t="s">
        <v>55</v>
      </c>
      <c r="L25" t="s">
        <v>15</v>
      </c>
      <c r="M25" t="s">
        <v>75</v>
      </c>
      <c r="N25" t="s">
        <v>128</v>
      </c>
      <c r="O25" t="s">
        <v>143</v>
      </c>
    </row>
    <row r="26" spans="1:15" x14ac:dyDescent="0.25">
      <c r="A26" t="s">
        <v>39</v>
      </c>
      <c r="B26">
        <f t="shared" ref="B26:B31" si="1">COUNTIF($G$1:$G$121,A26)</f>
        <v>44</v>
      </c>
      <c r="C26" s="2"/>
      <c r="F26" t="s">
        <v>21</v>
      </c>
      <c r="G26" t="s">
        <v>149</v>
      </c>
      <c r="H26" t="s">
        <v>47</v>
      </c>
      <c r="I26" t="s">
        <v>176</v>
      </c>
      <c r="J26" t="s">
        <v>167</v>
      </c>
      <c r="K26" t="s">
        <v>53</v>
      </c>
      <c r="L26" t="s">
        <v>165</v>
      </c>
      <c r="M26" t="s">
        <v>85</v>
      </c>
      <c r="N26" t="s">
        <v>78</v>
      </c>
      <c r="O26" t="s">
        <v>104</v>
      </c>
    </row>
    <row r="27" spans="1:15" x14ac:dyDescent="0.25">
      <c r="A27" t="s">
        <v>41</v>
      </c>
      <c r="B27">
        <f t="shared" si="1"/>
        <v>3</v>
      </c>
      <c r="C27" s="2"/>
      <c r="F27" t="s">
        <v>28</v>
      </c>
      <c r="G27" t="s">
        <v>40</v>
      </c>
      <c r="H27" t="s">
        <v>46</v>
      </c>
      <c r="I27" t="s">
        <v>148</v>
      </c>
      <c r="J27" t="s">
        <v>169</v>
      </c>
      <c r="K27" t="s">
        <v>53</v>
      </c>
      <c r="L27" t="s">
        <v>154</v>
      </c>
      <c r="M27" t="s">
        <v>104</v>
      </c>
      <c r="N27" t="s">
        <v>90</v>
      </c>
      <c r="O27" t="s">
        <v>30</v>
      </c>
    </row>
    <row r="28" spans="1:15" x14ac:dyDescent="0.25">
      <c r="A28" t="s">
        <v>149</v>
      </c>
      <c r="B28">
        <f t="shared" si="1"/>
        <v>4</v>
      </c>
      <c r="C28" s="2">
        <v>2</v>
      </c>
      <c r="D28" t="s">
        <v>35</v>
      </c>
      <c r="F28" t="s">
        <v>16</v>
      </c>
      <c r="G28" t="s">
        <v>39</v>
      </c>
      <c r="H28" t="s">
        <v>45</v>
      </c>
      <c r="I28" t="s">
        <v>178</v>
      </c>
      <c r="J28" t="s">
        <v>168</v>
      </c>
      <c r="K28" t="s">
        <v>52</v>
      </c>
      <c r="L28" t="s">
        <v>62</v>
      </c>
      <c r="M28" t="s">
        <v>143</v>
      </c>
      <c r="N28" t="s">
        <v>102</v>
      </c>
      <c r="O28" t="s">
        <v>111</v>
      </c>
    </row>
    <row r="29" spans="1:15" x14ac:dyDescent="0.25">
      <c r="A29" t="s">
        <v>42</v>
      </c>
      <c r="B29">
        <f t="shared" si="1"/>
        <v>25</v>
      </c>
      <c r="C29" s="2"/>
      <c r="F29" t="s">
        <v>64</v>
      </c>
      <c r="G29" t="s">
        <v>39</v>
      </c>
      <c r="H29" t="s">
        <v>47</v>
      </c>
      <c r="I29" t="s">
        <v>49</v>
      </c>
      <c r="J29" t="s">
        <v>201</v>
      </c>
      <c r="K29" t="s">
        <v>51</v>
      </c>
      <c r="L29" t="s">
        <v>171</v>
      </c>
      <c r="M29" t="s">
        <v>77</v>
      </c>
      <c r="N29" t="s">
        <v>119</v>
      </c>
      <c r="O29" t="s">
        <v>82</v>
      </c>
    </row>
    <row r="30" spans="1:15" x14ac:dyDescent="0.25">
      <c r="A30" t="s">
        <v>170</v>
      </c>
      <c r="B30">
        <f t="shared" si="1"/>
        <v>26</v>
      </c>
      <c r="C30" s="2">
        <v>3.3333333333333335</v>
      </c>
      <c r="D30" t="s">
        <v>34</v>
      </c>
      <c r="F30" t="s">
        <v>23</v>
      </c>
      <c r="G30" t="s">
        <v>39</v>
      </c>
      <c r="H30" t="s">
        <v>48</v>
      </c>
      <c r="I30" t="s">
        <v>177</v>
      </c>
      <c r="J30" t="s">
        <v>169</v>
      </c>
      <c r="K30" t="s">
        <v>55</v>
      </c>
      <c r="L30" t="s">
        <v>165</v>
      </c>
      <c r="M30" t="s">
        <v>108</v>
      </c>
      <c r="N30" t="s">
        <v>144</v>
      </c>
      <c r="O30" t="s">
        <v>124</v>
      </c>
    </row>
    <row r="31" spans="1:15" x14ac:dyDescent="0.25">
      <c r="A31" t="s">
        <v>40</v>
      </c>
      <c r="B31">
        <f t="shared" si="1"/>
        <v>8</v>
      </c>
      <c r="C31" s="2"/>
      <c r="F31" t="s">
        <v>22</v>
      </c>
      <c r="G31" t="s">
        <v>170</v>
      </c>
      <c r="H31" t="s">
        <v>45</v>
      </c>
      <c r="I31" t="s">
        <v>177</v>
      </c>
      <c r="J31" t="s">
        <v>169</v>
      </c>
      <c r="K31" t="s">
        <v>51</v>
      </c>
      <c r="L31" t="s">
        <v>165</v>
      </c>
      <c r="M31" t="s">
        <v>66</v>
      </c>
      <c r="N31" t="s">
        <v>110</v>
      </c>
      <c r="O31" t="s">
        <v>56</v>
      </c>
    </row>
    <row r="32" spans="1:15" x14ac:dyDescent="0.25">
      <c r="C32" s="2"/>
      <c r="F32" t="s">
        <v>21</v>
      </c>
      <c r="G32" t="s">
        <v>39</v>
      </c>
      <c r="H32" t="s">
        <v>45</v>
      </c>
      <c r="I32" t="s">
        <v>177</v>
      </c>
      <c r="J32" t="s">
        <v>169</v>
      </c>
      <c r="K32" t="s">
        <v>52</v>
      </c>
      <c r="L32" t="s">
        <v>154</v>
      </c>
      <c r="M32" t="s">
        <v>113</v>
      </c>
      <c r="N32" t="s">
        <v>81</v>
      </c>
      <c r="O32" t="s">
        <v>99</v>
      </c>
    </row>
    <row r="33" spans="1:15" x14ac:dyDescent="0.25">
      <c r="A33" t="s">
        <v>44</v>
      </c>
      <c r="B33">
        <f>COUNTIF($H$1:$H$121,A33)</f>
        <v>6</v>
      </c>
      <c r="C33" s="2">
        <v>3.870967741935484</v>
      </c>
      <c r="D33" t="s">
        <v>35</v>
      </c>
      <c r="F33" t="s">
        <v>25</v>
      </c>
      <c r="G33" t="s">
        <v>42</v>
      </c>
      <c r="H33" t="s">
        <v>45</v>
      </c>
      <c r="I33" t="s">
        <v>177</v>
      </c>
      <c r="J33" t="s">
        <v>148</v>
      </c>
      <c r="K33" t="s">
        <v>52</v>
      </c>
      <c r="L33" t="s">
        <v>154</v>
      </c>
      <c r="M33" t="s">
        <v>66</v>
      </c>
      <c r="N33" t="s">
        <v>129</v>
      </c>
      <c r="O33" t="s">
        <v>120</v>
      </c>
    </row>
    <row r="34" spans="1:15" x14ac:dyDescent="0.25">
      <c r="A34" t="s">
        <v>48</v>
      </c>
      <c r="B34">
        <f t="shared" ref="B34:B37" si="2">COUNTIF($H$1:$H$120,A34)</f>
        <v>29</v>
      </c>
      <c r="C34" s="2"/>
      <c r="F34" t="s">
        <v>180</v>
      </c>
      <c r="G34" t="s">
        <v>39</v>
      </c>
      <c r="H34" t="s">
        <v>44</v>
      </c>
      <c r="I34" t="s">
        <v>176</v>
      </c>
      <c r="J34" t="s">
        <v>169</v>
      </c>
      <c r="K34" t="s">
        <v>53</v>
      </c>
      <c r="L34" t="s">
        <v>15</v>
      </c>
      <c r="M34" t="s">
        <v>100</v>
      </c>
      <c r="N34" t="s">
        <v>56</v>
      </c>
      <c r="O34" t="s">
        <v>187</v>
      </c>
    </row>
    <row r="35" spans="1:15" x14ac:dyDescent="0.25">
      <c r="A35" t="s">
        <v>45</v>
      </c>
      <c r="B35">
        <f t="shared" si="2"/>
        <v>45</v>
      </c>
      <c r="C35" s="2"/>
      <c r="F35" t="s">
        <v>64</v>
      </c>
      <c r="G35" t="s">
        <v>39</v>
      </c>
      <c r="H35" t="s">
        <v>47</v>
      </c>
      <c r="I35" t="s">
        <v>49</v>
      </c>
      <c r="J35" t="s">
        <v>168</v>
      </c>
      <c r="K35" t="s">
        <v>68</v>
      </c>
      <c r="L35" t="s">
        <v>123</v>
      </c>
      <c r="M35" t="s">
        <v>190</v>
      </c>
      <c r="N35" t="s">
        <v>187</v>
      </c>
      <c r="O35" t="s">
        <v>125</v>
      </c>
    </row>
    <row r="36" spans="1:15" x14ac:dyDescent="0.25">
      <c r="A36" t="s">
        <v>47</v>
      </c>
      <c r="B36">
        <f t="shared" si="2"/>
        <v>32</v>
      </c>
      <c r="C36" s="2"/>
      <c r="F36" t="s">
        <v>28</v>
      </c>
      <c r="G36" t="s">
        <v>39</v>
      </c>
      <c r="H36" t="s">
        <v>47</v>
      </c>
      <c r="I36" t="s">
        <v>177</v>
      </c>
      <c r="J36" t="s">
        <v>201</v>
      </c>
      <c r="K36" t="s">
        <v>52</v>
      </c>
      <c r="L36" t="s">
        <v>163</v>
      </c>
      <c r="M36" t="s">
        <v>100</v>
      </c>
      <c r="N36" t="s">
        <v>69</v>
      </c>
      <c r="O36" t="s">
        <v>31</v>
      </c>
    </row>
    <row r="37" spans="1:15" x14ac:dyDescent="0.25">
      <c r="A37" t="s">
        <v>46</v>
      </c>
      <c r="B37">
        <f t="shared" si="2"/>
        <v>7</v>
      </c>
      <c r="C37" s="2">
        <v>1.0810810810810811</v>
      </c>
      <c r="D37" t="s">
        <v>33</v>
      </c>
      <c r="F37" t="s">
        <v>25</v>
      </c>
      <c r="G37" t="s">
        <v>42</v>
      </c>
      <c r="H37" t="s">
        <v>45</v>
      </c>
      <c r="I37" t="s">
        <v>176</v>
      </c>
      <c r="J37" t="s">
        <v>201</v>
      </c>
      <c r="K37" t="s">
        <v>52</v>
      </c>
      <c r="L37" t="s">
        <v>159</v>
      </c>
      <c r="M37" t="s">
        <v>80</v>
      </c>
      <c r="N37" t="s">
        <v>76</v>
      </c>
      <c r="O37" t="s">
        <v>86</v>
      </c>
    </row>
    <row r="38" spans="1:15" x14ac:dyDescent="0.25">
      <c r="C38" s="2">
        <v>2.2641509433962264</v>
      </c>
      <c r="D38" t="s">
        <v>34</v>
      </c>
      <c r="F38" t="s">
        <v>17</v>
      </c>
      <c r="G38" t="s">
        <v>170</v>
      </c>
      <c r="H38" t="s">
        <v>45</v>
      </c>
      <c r="I38" t="s">
        <v>55</v>
      </c>
      <c r="J38" t="s">
        <v>167</v>
      </c>
      <c r="K38" t="s">
        <v>52</v>
      </c>
      <c r="L38" t="s">
        <v>155</v>
      </c>
      <c r="M38" t="s">
        <v>130</v>
      </c>
      <c r="N38" t="s">
        <v>111</v>
      </c>
      <c r="O38" t="s">
        <v>136</v>
      </c>
    </row>
    <row r="39" spans="1:15" x14ac:dyDescent="0.25">
      <c r="A39" t="s">
        <v>49</v>
      </c>
      <c r="B39">
        <f>COUNTIF($I$1:$I$121,A39)</f>
        <v>22</v>
      </c>
      <c r="C39" s="2"/>
      <c r="F39" t="s">
        <v>64</v>
      </c>
      <c r="G39" t="s">
        <v>39</v>
      </c>
      <c r="H39" t="s">
        <v>47</v>
      </c>
      <c r="I39" t="s">
        <v>49</v>
      </c>
      <c r="J39" t="s">
        <v>148</v>
      </c>
      <c r="K39" t="s">
        <v>51</v>
      </c>
      <c r="L39" t="s">
        <v>172</v>
      </c>
      <c r="M39" t="s">
        <v>93</v>
      </c>
      <c r="N39" t="s">
        <v>145</v>
      </c>
      <c r="O39" t="s">
        <v>97</v>
      </c>
    </row>
    <row r="40" spans="1:15" x14ac:dyDescent="0.25">
      <c r="A40" t="s">
        <v>148</v>
      </c>
      <c r="B40">
        <f t="shared" ref="B40:B44" si="3">COUNTIF($I$1:$I$121,A40)</f>
        <v>24</v>
      </c>
      <c r="C40" s="2">
        <v>6.3157894736842106</v>
      </c>
      <c r="D40" t="s">
        <v>37</v>
      </c>
      <c r="F40" t="s">
        <v>18</v>
      </c>
      <c r="G40" t="s">
        <v>39</v>
      </c>
      <c r="H40" t="s">
        <v>45</v>
      </c>
      <c r="I40" t="s">
        <v>49</v>
      </c>
      <c r="J40" t="s">
        <v>167</v>
      </c>
      <c r="K40" t="s">
        <v>51</v>
      </c>
      <c r="L40" t="s">
        <v>156</v>
      </c>
      <c r="M40" t="s">
        <v>81</v>
      </c>
      <c r="N40" t="s">
        <v>137</v>
      </c>
      <c r="O40" t="s">
        <v>112</v>
      </c>
    </row>
    <row r="41" spans="1:15" x14ac:dyDescent="0.25">
      <c r="A41" t="s">
        <v>177</v>
      </c>
      <c r="B41">
        <f t="shared" si="3"/>
        <v>29</v>
      </c>
      <c r="C41" s="2"/>
      <c r="F41" t="s">
        <v>25</v>
      </c>
      <c r="G41" t="s">
        <v>149</v>
      </c>
      <c r="H41" t="s">
        <v>48</v>
      </c>
      <c r="I41" t="s">
        <v>49</v>
      </c>
      <c r="J41" t="s">
        <v>167</v>
      </c>
      <c r="K41" t="s">
        <v>54</v>
      </c>
      <c r="L41" t="s">
        <v>154</v>
      </c>
      <c r="M41" t="s">
        <v>91</v>
      </c>
      <c r="N41" t="s">
        <v>103</v>
      </c>
      <c r="O41" t="s">
        <v>135</v>
      </c>
    </row>
    <row r="42" spans="1:15" x14ac:dyDescent="0.25">
      <c r="A42" t="s">
        <v>176</v>
      </c>
      <c r="B42">
        <f t="shared" si="3"/>
        <v>24</v>
      </c>
      <c r="C42" s="2"/>
      <c r="F42" t="s">
        <v>64</v>
      </c>
      <c r="G42" t="s">
        <v>40</v>
      </c>
      <c r="H42" t="s">
        <v>48</v>
      </c>
      <c r="I42" t="s">
        <v>148</v>
      </c>
      <c r="J42" t="s">
        <v>166</v>
      </c>
      <c r="K42" t="s">
        <v>55</v>
      </c>
      <c r="L42" t="s">
        <v>67</v>
      </c>
      <c r="M42" t="s">
        <v>152</v>
      </c>
      <c r="N42" t="s">
        <v>110</v>
      </c>
      <c r="O42" t="s">
        <v>101</v>
      </c>
    </row>
    <row r="43" spans="1:15" x14ac:dyDescent="0.25">
      <c r="A43" t="s">
        <v>55</v>
      </c>
      <c r="B43">
        <f t="shared" si="3"/>
        <v>12</v>
      </c>
      <c r="C43" s="2"/>
      <c r="F43" t="s">
        <v>180</v>
      </c>
      <c r="G43" t="s">
        <v>39</v>
      </c>
      <c r="H43" t="s">
        <v>48</v>
      </c>
      <c r="I43" t="s">
        <v>176</v>
      </c>
      <c r="J43" t="s">
        <v>167</v>
      </c>
      <c r="K43" t="s">
        <v>53</v>
      </c>
      <c r="L43" t="s">
        <v>58</v>
      </c>
      <c r="M43" t="s">
        <v>31</v>
      </c>
      <c r="N43" t="s">
        <v>175</v>
      </c>
      <c r="O43" t="s">
        <v>65</v>
      </c>
    </row>
    <row r="44" spans="1:15" x14ac:dyDescent="0.25">
      <c r="A44" t="s">
        <v>178</v>
      </c>
      <c r="B44">
        <f t="shared" si="3"/>
        <v>9</v>
      </c>
      <c r="C44" s="2"/>
      <c r="F44" t="s">
        <v>180</v>
      </c>
      <c r="G44" t="s">
        <v>39</v>
      </c>
      <c r="H44" t="s">
        <v>48</v>
      </c>
      <c r="I44" t="s">
        <v>148</v>
      </c>
      <c r="J44" t="s">
        <v>201</v>
      </c>
      <c r="K44" t="s">
        <v>52</v>
      </c>
      <c r="L44" t="s">
        <v>156</v>
      </c>
      <c r="M44" t="s">
        <v>29</v>
      </c>
      <c r="N44" t="s">
        <v>30</v>
      </c>
      <c r="O44" t="s">
        <v>174</v>
      </c>
    </row>
    <row r="45" spans="1:15" x14ac:dyDescent="0.25">
      <c r="C45" s="2"/>
      <c r="F45" t="s">
        <v>21</v>
      </c>
      <c r="G45" t="s">
        <v>170</v>
      </c>
      <c r="H45" t="s">
        <v>45</v>
      </c>
      <c r="I45" t="s">
        <v>177</v>
      </c>
      <c r="J45" t="s">
        <v>166</v>
      </c>
      <c r="K45" t="s">
        <v>52</v>
      </c>
      <c r="L45" t="s">
        <v>158</v>
      </c>
      <c r="M45" t="s">
        <v>66</v>
      </c>
      <c r="N45" t="s">
        <v>138</v>
      </c>
      <c r="O45" t="s">
        <v>81</v>
      </c>
    </row>
    <row r="46" spans="1:15" x14ac:dyDescent="0.25">
      <c r="A46" t="s">
        <v>166</v>
      </c>
      <c r="B46">
        <f>COUNTIF($J$1:$J$121,A46)</f>
        <v>4</v>
      </c>
      <c r="C46" s="2">
        <v>3.0769230769230771</v>
      </c>
      <c r="D46" t="s">
        <v>36</v>
      </c>
      <c r="F46" t="s">
        <v>64</v>
      </c>
      <c r="G46" t="s">
        <v>170</v>
      </c>
      <c r="H46" t="s">
        <v>47</v>
      </c>
      <c r="I46" t="s">
        <v>148</v>
      </c>
      <c r="J46" t="s">
        <v>169</v>
      </c>
      <c r="K46" t="s">
        <v>52</v>
      </c>
      <c r="L46" t="s">
        <v>123</v>
      </c>
      <c r="M46" t="s">
        <v>63</v>
      </c>
      <c r="N46" t="s">
        <v>136</v>
      </c>
      <c r="O46" t="s">
        <v>81</v>
      </c>
    </row>
    <row r="47" spans="1:15" x14ac:dyDescent="0.25">
      <c r="A47" t="s">
        <v>148</v>
      </c>
      <c r="B47">
        <f t="shared" ref="B47:B51" si="4">COUNTIF($J$1:$J$121,A47)</f>
        <v>18</v>
      </c>
      <c r="C47" s="2"/>
      <c r="F47" t="s">
        <v>198</v>
      </c>
      <c r="G47" t="s">
        <v>39</v>
      </c>
      <c r="H47" t="s">
        <v>48</v>
      </c>
      <c r="I47" t="s">
        <v>176</v>
      </c>
      <c r="J47" t="s">
        <v>168</v>
      </c>
      <c r="K47" t="s">
        <v>68</v>
      </c>
      <c r="L47" t="s">
        <v>162</v>
      </c>
      <c r="M47" t="s">
        <v>111</v>
      </c>
      <c r="N47" t="s">
        <v>152</v>
      </c>
      <c r="O47" t="s">
        <v>98</v>
      </c>
    </row>
    <row r="48" spans="1:15" x14ac:dyDescent="0.25">
      <c r="A48" t="s">
        <v>167</v>
      </c>
      <c r="B48">
        <f t="shared" si="4"/>
        <v>21</v>
      </c>
      <c r="C48" s="2"/>
      <c r="F48" t="s">
        <v>28</v>
      </c>
      <c r="G48" t="s">
        <v>170</v>
      </c>
      <c r="H48" t="s">
        <v>45</v>
      </c>
      <c r="I48" t="s">
        <v>148</v>
      </c>
      <c r="J48" t="s">
        <v>167</v>
      </c>
      <c r="K48" t="s">
        <v>52</v>
      </c>
      <c r="L48" t="s">
        <v>60</v>
      </c>
      <c r="M48" t="s">
        <v>175</v>
      </c>
      <c r="N48" t="s">
        <v>97</v>
      </c>
      <c r="O48" t="s">
        <v>107</v>
      </c>
    </row>
    <row r="49" spans="1:15" x14ac:dyDescent="0.25">
      <c r="A49" t="s">
        <v>168</v>
      </c>
      <c r="B49">
        <f t="shared" si="4"/>
        <v>21</v>
      </c>
      <c r="C49" s="2">
        <v>1.411764705882353</v>
      </c>
      <c r="D49" t="s">
        <v>36</v>
      </c>
      <c r="F49" t="s">
        <v>21</v>
      </c>
      <c r="G49" t="s">
        <v>170</v>
      </c>
      <c r="H49" t="s">
        <v>44</v>
      </c>
      <c r="I49" t="s">
        <v>148</v>
      </c>
      <c r="J49" t="s">
        <v>201</v>
      </c>
      <c r="K49" t="s">
        <v>55</v>
      </c>
      <c r="L49" t="s">
        <v>162</v>
      </c>
      <c r="M49" t="s">
        <v>79</v>
      </c>
      <c r="N49" t="s">
        <v>103</v>
      </c>
      <c r="O49" t="s">
        <v>57</v>
      </c>
    </row>
    <row r="50" spans="1:15" x14ac:dyDescent="0.25">
      <c r="A50" t="s">
        <v>169</v>
      </c>
      <c r="B50">
        <f t="shared" si="4"/>
        <v>27</v>
      </c>
      <c r="C50" s="2">
        <v>1.25</v>
      </c>
      <c r="D50" t="s">
        <v>36</v>
      </c>
      <c r="F50" t="s">
        <v>198</v>
      </c>
      <c r="G50" t="s">
        <v>42</v>
      </c>
      <c r="H50" t="s">
        <v>48</v>
      </c>
      <c r="I50" t="s">
        <v>49</v>
      </c>
      <c r="J50" t="s">
        <v>201</v>
      </c>
      <c r="K50" t="s">
        <v>52</v>
      </c>
      <c r="L50" t="s">
        <v>192</v>
      </c>
      <c r="M50" t="s">
        <v>103</v>
      </c>
      <c r="N50" t="s">
        <v>78</v>
      </c>
      <c r="O50" t="s">
        <v>126</v>
      </c>
    </row>
    <row r="51" spans="1:15" x14ac:dyDescent="0.25">
      <c r="A51" t="s">
        <v>201</v>
      </c>
      <c r="B51">
        <f t="shared" si="4"/>
        <v>29</v>
      </c>
      <c r="C51" s="2">
        <v>1.0619469026548674</v>
      </c>
      <c r="D51" t="s">
        <v>38</v>
      </c>
      <c r="F51" t="s">
        <v>64</v>
      </c>
      <c r="G51" t="s">
        <v>42</v>
      </c>
      <c r="H51" t="s">
        <v>45</v>
      </c>
      <c r="I51" t="s">
        <v>49</v>
      </c>
      <c r="J51" t="s">
        <v>148</v>
      </c>
      <c r="K51" t="s">
        <v>51</v>
      </c>
      <c r="L51" t="s">
        <v>192</v>
      </c>
      <c r="M51" t="s">
        <v>82</v>
      </c>
      <c r="N51" t="s">
        <v>110</v>
      </c>
      <c r="O51" t="s">
        <v>66</v>
      </c>
    </row>
    <row r="52" spans="1:15" x14ac:dyDescent="0.25">
      <c r="C52" s="2">
        <v>5</v>
      </c>
      <c r="D52" t="s">
        <v>35</v>
      </c>
      <c r="F52" t="s">
        <v>64</v>
      </c>
      <c r="G52" t="s">
        <v>42</v>
      </c>
      <c r="H52" t="s">
        <v>48</v>
      </c>
      <c r="I52" t="s">
        <v>55</v>
      </c>
      <c r="J52" t="s">
        <v>201</v>
      </c>
      <c r="K52" t="s">
        <v>68</v>
      </c>
      <c r="L52" t="s">
        <v>50</v>
      </c>
      <c r="M52" t="s">
        <v>117</v>
      </c>
      <c r="N52" t="s">
        <v>145</v>
      </c>
      <c r="O52" t="s">
        <v>100</v>
      </c>
    </row>
    <row r="53" spans="1:15" x14ac:dyDescent="0.25">
      <c r="A53" t="s">
        <v>51</v>
      </c>
      <c r="B53">
        <f>COUNTIF($K$1:$K$121,A53)</f>
        <v>11</v>
      </c>
      <c r="C53" s="2"/>
      <c r="F53" t="s">
        <v>26</v>
      </c>
      <c r="G53" t="s">
        <v>39</v>
      </c>
      <c r="H53" t="s">
        <v>45</v>
      </c>
      <c r="I53" t="s">
        <v>55</v>
      </c>
      <c r="J53" t="s">
        <v>148</v>
      </c>
      <c r="K53" t="s">
        <v>53</v>
      </c>
      <c r="L53" t="s">
        <v>59</v>
      </c>
      <c r="M53" t="s">
        <v>110</v>
      </c>
      <c r="N53" t="s">
        <v>119</v>
      </c>
      <c r="O53" t="s">
        <v>134</v>
      </c>
    </row>
    <row r="54" spans="1:15" x14ac:dyDescent="0.25">
      <c r="A54" t="s">
        <v>52</v>
      </c>
      <c r="B54">
        <f t="shared" ref="B54:B58" si="5">COUNTIF($K$1:$K$121,A54)</f>
        <v>38</v>
      </c>
      <c r="C54" s="2"/>
      <c r="F54" t="s">
        <v>17</v>
      </c>
      <c r="G54" t="s">
        <v>39</v>
      </c>
      <c r="H54" t="s">
        <v>45</v>
      </c>
      <c r="I54" t="s">
        <v>176</v>
      </c>
      <c r="J54" t="s">
        <v>169</v>
      </c>
      <c r="K54" t="s">
        <v>52</v>
      </c>
      <c r="L54" t="s">
        <v>151</v>
      </c>
      <c r="M54" t="s">
        <v>73</v>
      </c>
      <c r="N54" t="s">
        <v>84</v>
      </c>
      <c r="O54" t="s">
        <v>91</v>
      </c>
    </row>
    <row r="55" spans="1:15" x14ac:dyDescent="0.25">
      <c r="A55" t="s">
        <v>53</v>
      </c>
      <c r="B55">
        <f t="shared" si="5"/>
        <v>34</v>
      </c>
      <c r="C55" s="2"/>
      <c r="F55" t="s">
        <v>28</v>
      </c>
      <c r="G55" t="s">
        <v>42</v>
      </c>
      <c r="H55" t="s">
        <v>47</v>
      </c>
      <c r="I55" t="s">
        <v>49</v>
      </c>
      <c r="J55" t="s">
        <v>167</v>
      </c>
      <c r="K55" t="s">
        <v>52</v>
      </c>
      <c r="L55" t="s">
        <v>162</v>
      </c>
      <c r="M55" t="s">
        <v>129</v>
      </c>
      <c r="N55" t="s">
        <v>143</v>
      </c>
      <c r="O55" t="s">
        <v>137</v>
      </c>
    </row>
    <row r="56" spans="1:15" x14ac:dyDescent="0.25">
      <c r="A56" t="s">
        <v>54</v>
      </c>
      <c r="B56">
        <f t="shared" si="5"/>
        <v>8</v>
      </c>
      <c r="C56" s="2"/>
      <c r="F56" t="s">
        <v>20</v>
      </c>
      <c r="G56" t="s">
        <v>39</v>
      </c>
      <c r="H56" t="s">
        <v>44</v>
      </c>
      <c r="I56" t="s">
        <v>177</v>
      </c>
      <c r="J56" t="s">
        <v>201</v>
      </c>
      <c r="K56" t="s">
        <v>54</v>
      </c>
      <c r="L56" t="s">
        <v>163</v>
      </c>
      <c r="M56" t="s">
        <v>190</v>
      </c>
      <c r="N56" t="s">
        <v>134</v>
      </c>
      <c r="O56" t="s">
        <v>175</v>
      </c>
    </row>
    <row r="57" spans="1:15" x14ac:dyDescent="0.25">
      <c r="A57" t="s">
        <v>55</v>
      </c>
      <c r="B57">
        <f t="shared" si="5"/>
        <v>17</v>
      </c>
      <c r="C57" s="2">
        <v>2.7906976744186047</v>
      </c>
      <c r="D57" t="s">
        <v>37</v>
      </c>
      <c r="F57" t="s">
        <v>181</v>
      </c>
      <c r="G57" t="s">
        <v>40</v>
      </c>
      <c r="H57" t="s">
        <v>47</v>
      </c>
      <c r="I57" t="s">
        <v>148</v>
      </c>
      <c r="J57" t="s">
        <v>169</v>
      </c>
      <c r="K57" t="s">
        <v>52</v>
      </c>
      <c r="L57" t="s">
        <v>58</v>
      </c>
      <c r="M57" t="s">
        <v>131</v>
      </c>
      <c r="N57" t="s">
        <v>83</v>
      </c>
      <c r="O57" t="s">
        <v>116</v>
      </c>
    </row>
    <row r="58" spans="1:15" x14ac:dyDescent="0.25">
      <c r="A58" t="s">
        <v>68</v>
      </c>
      <c r="B58">
        <f t="shared" si="5"/>
        <v>12</v>
      </c>
      <c r="C58" s="2"/>
      <c r="F58" t="s">
        <v>198</v>
      </c>
      <c r="G58" t="s">
        <v>42</v>
      </c>
      <c r="H58" t="s">
        <v>48</v>
      </c>
      <c r="I58" t="s">
        <v>49</v>
      </c>
      <c r="J58" t="s">
        <v>169</v>
      </c>
      <c r="K58" t="s">
        <v>52</v>
      </c>
      <c r="L58" t="s">
        <v>164</v>
      </c>
      <c r="M58" t="s">
        <v>70</v>
      </c>
      <c r="N58" t="s">
        <v>106</v>
      </c>
      <c r="O58" t="s">
        <v>194</v>
      </c>
    </row>
    <row r="59" spans="1:15" x14ac:dyDescent="0.25">
      <c r="C59" s="2"/>
      <c r="F59" t="s">
        <v>182</v>
      </c>
      <c r="G59" t="s">
        <v>43</v>
      </c>
      <c r="H59" t="s">
        <v>47</v>
      </c>
      <c r="I59" t="s">
        <v>148</v>
      </c>
      <c r="J59" t="s">
        <v>148</v>
      </c>
      <c r="K59" t="s">
        <v>52</v>
      </c>
      <c r="L59" t="s">
        <v>192</v>
      </c>
      <c r="M59" t="s">
        <v>133</v>
      </c>
      <c r="N59" t="s">
        <v>73</v>
      </c>
      <c r="O59" t="s">
        <v>30</v>
      </c>
    </row>
    <row r="60" spans="1:15" x14ac:dyDescent="0.25">
      <c r="A60" t="s">
        <v>164</v>
      </c>
      <c r="B60">
        <f>COUNTIF($L$1:$L$121,A60)</f>
        <v>7</v>
      </c>
      <c r="C60" s="2">
        <v>5.4545454545454541</v>
      </c>
      <c r="D60" t="s">
        <v>37</v>
      </c>
      <c r="F60" t="s">
        <v>18</v>
      </c>
      <c r="G60" t="s">
        <v>170</v>
      </c>
      <c r="H60" t="s">
        <v>45</v>
      </c>
      <c r="I60" t="s">
        <v>177</v>
      </c>
      <c r="J60" t="s">
        <v>201</v>
      </c>
      <c r="K60" t="s">
        <v>53</v>
      </c>
      <c r="L60" t="s">
        <v>160</v>
      </c>
      <c r="M60" t="s">
        <v>188</v>
      </c>
      <c r="N60" t="s">
        <v>103</v>
      </c>
      <c r="O60" t="s">
        <v>73</v>
      </c>
    </row>
    <row r="61" spans="1:15" x14ac:dyDescent="0.25">
      <c r="A61" t="s">
        <v>14</v>
      </c>
      <c r="B61">
        <f t="shared" ref="B61:B89" si="6">COUNTIF($L$1:$L$121,A61)</f>
        <v>3</v>
      </c>
      <c r="C61" s="2"/>
      <c r="F61" t="s">
        <v>18</v>
      </c>
      <c r="G61" t="s">
        <v>170</v>
      </c>
      <c r="H61" t="s">
        <v>48</v>
      </c>
      <c r="I61" t="s">
        <v>176</v>
      </c>
      <c r="J61" t="s">
        <v>168</v>
      </c>
      <c r="K61" t="s">
        <v>53</v>
      </c>
      <c r="L61" t="s">
        <v>50</v>
      </c>
      <c r="M61" t="s">
        <v>131</v>
      </c>
      <c r="N61" t="s">
        <v>82</v>
      </c>
      <c r="O61" t="s">
        <v>111</v>
      </c>
    </row>
    <row r="62" spans="1:15" x14ac:dyDescent="0.25">
      <c r="A62" t="s">
        <v>160</v>
      </c>
      <c r="B62">
        <f t="shared" si="6"/>
        <v>4</v>
      </c>
      <c r="C62" s="2"/>
      <c r="F62" t="s">
        <v>64</v>
      </c>
      <c r="G62" t="s">
        <v>39</v>
      </c>
      <c r="H62" t="s">
        <v>48</v>
      </c>
      <c r="I62" t="s">
        <v>55</v>
      </c>
      <c r="J62" t="s">
        <v>167</v>
      </c>
      <c r="K62" t="s">
        <v>52</v>
      </c>
      <c r="L62" t="s">
        <v>13</v>
      </c>
      <c r="M62" t="s">
        <v>86</v>
      </c>
      <c r="N62" t="s">
        <v>79</v>
      </c>
      <c r="O62" t="s">
        <v>75</v>
      </c>
    </row>
    <row r="63" spans="1:15" x14ac:dyDescent="0.25">
      <c r="A63" t="s">
        <v>13</v>
      </c>
      <c r="B63">
        <f t="shared" si="6"/>
        <v>6</v>
      </c>
      <c r="C63" s="2"/>
      <c r="F63" t="s">
        <v>180</v>
      </c>
      <c r="G63" t="s">
        <v>170</v>
      </c>
      <c r="H63" t="s">
        <v>48</v>
      </c>
      <c r="I63" t="s">
        <v>55</v>
      </c>
      <c r="J63" t="s">
        <v>201</v>
      </c>
      <c r="K63" t="s">
        <v>53</v>
      </c>
      <c r="L63" t="s">
        <v>171</v>
      </c>
      <c r="M63" t="s">
        <v>89</v>
      </c>
      <c r="N63" t="s">
        <v>130</v>
      </c>
      <c r="O63" t="s">
        <v>70</v>
      </c>
    </row>
    <row r="64" spans="1:15" x14ac:dyDescent="0.25">
      <c r="A64" t="s">
        <v>173</v>
      </c>
      <c r="B64">
        <f t="shared" si="6"/>
        <v>2</v>
      </c>
      <c r="C64" s="2"/>
      <c r="F64" t="s">
        <v>64</v>
      </c>
      <c r="G64" t="s">
        <v>39</v>
      </c>
      <c r="H64" t="s">
        <v>45</v>
      </c>
      <c r="I64" t="s">
        <v>176</v>
      </c>
      <c r="J64" t="s">
        <v>169</v>
      </c>
      <c r="K64" t="s">
        <v>53</v>
      </c>
      <c r="L64" t="s">
        <v>159</v>
      </c>
      <c r="M64" t="s">
        <v>101</v>
      </c>
      <c r="N64" t="s">
        <v>136</v>
      </c>
      <c r="O64" t="s">
        <v>79</v>
      </c>
    </row>
    <row r="65" spans="1:15" x14ac:dyDescent="0.25">
      <c r="A65" t="s">
        <v>179</v>
      </c>
      <c r="B65">
        <f t="shared" si="6"/>
        <v>1</v>
      </c>
      <c r="C65" s="2">
        <v>4</v>
      </c>
      <c r="D65" t="s">
        <v>33</v>
      </c>
      <c r="F65" t="s">
        <v>180</v>
      </c>
      <c r="G65" t="s">
        <v>170</v>
      </c>
      <c r="H65" t="s">
        <v>45</v>
      </c>
      <c r="I65" t="s">
        <v>177</v>
      </c>
      <c r="J65" t="s">
        <v>167</v>
      </c>
      <c r="K65" t="s">
        <v>68</v>
      </c>
      <c r="L65" t="s">
        <v>163</v>
      </c>
      <c r="M65" t="s">
        <v>88</v>
      </c>
      <c r="N65" t="s">
        <v>87</v>
      </c>
      <c r="O65" t="s">
        <v>147</v>
      </c>
    </row>
    <row r="66" spans="1:15" x14ac:dyDescent="0.25">
      <c r="A66" t="s">
        <v>156</v>
      </c>
      <c r="B66">
        <f t="shared" si="6"/>
        <v>4</v>
      </c>
      <c r="C66" s="2"/>
      <c r="F66" t="s">
        <v>181</v>
      </c>
      <c r="G66" t="s">
        <v>43</v>
      </c>
      <c r="H66" t="s">
        <v>47</v>
      </c>
      <c r="I66" t="s">
        <v>148</v>
      </c>
      <c r="J66" t="s">
        <v>166</v>
      </c>
      <c r="K66" t="s">
        <v>52</v>
      </c>
      <c r="L66" t="s">
        <v>61</v>
      </c>
      <c r="M66" t="s">
        <v>127</v>
      </c>
      <c r="N66" t="s">
        <v>117</v>
      </c>
      <c r="O66" t="s">
        <v>87</v>
      </c>
    </row>
    <row r="67" spans="1:15" x14ac:dyDescent="0.25">
      <c r="A67" t="s">
        <v>59</v>
      </c>
      <c r="B67">
        <f t="shared" si="6"/>
        <v>1</v>
      </c>
      <c r="C67" s="2"/>
      <c r="F67" t="s">
        <v>19</v>
      </c>
      <c r="G67" t="s">
        <v>170</v>
      </c>
      <c r="H67" t="s">
        <v>47</v>
      </c>
      <c r="I67" t="s">
        <v>178</v>
      </c>
      <c r="J67" t="s">
        <v>167</v>
      </c>
      <c r="K67" t="s">
        <v>52</v>
      </c>
      <c r="L67" t="s">
        <v>154</v>
      </c>
      <c r="M67" t="s">
        <v>116</v>
      </c>
      <c r="N67" t="s">
        <v>97</v>
      </c>
      <c r="O67" t="s">
        <v>187</v>
      </c>
    </row>
    <row r="68" spans="1:15" x14ac:dyDescent="0.25">
      <c r="A68" t="s">
        <v>172</v>
      </c>
      <c r="B68">
        <f t="shared" si="6"/>
        <v>7</v>
      </c>
      <c r="C68" s="2"/>
      <c r="F68" t="s">
        <v>26</v>
      </c>
      <c r="G68" t="s">
        <v>42</v>
      </c>
      <c r="H68" t="s">
        <v>48</v>
      </c>
      <c r="I68" t="s">
        <v>148</v>
      </c>
      <c r="J68" t="s">
        <v>201</v>
      </c>
      <c r="K68" t="s">
        <v>53</v>
      </c>
      <c r="L68" t="s">
        <v>67</v>
      </c>
      <c r="M68" t="s">
        <v>95</v>
      </c>
      <c r="N68" t="s">
        <v>174</v>
      </c>
      <c r="O68" t="s">
        <v>106</v>
      </c>
    </row>
    <row r="69" spans="1:15" x14ac:dyDescent="0.25">
      <c r="A69" t="s">
        <v>159</v>
      </c>
      <c r="B69">
        <f t="shared" si="6"/>
        <v>5</v>
      </c>
      <c r="C69" s="2">
        <v>2.9268292682926829</v>
      </c>
      <c r="D69" t="s">
        <v>32</v>
      </c>
      <c r="F69" t="s">
        <v>17</v>
      </c>
      <c r="G69" t="s">
        <v>39</v>
      </c>
      <c r="H69" t="s">
        <v>48</v>
      </c>
      <c r="I69" t="s">
        <v>176</v>
      </c>
      <c r="J69" t="s">
        <v>201</v>
      </c>
      <c r="K69" t="s">
        <v>53</v>
      </c>
      <c r="L69" t="s">
        <v>160</v>
      </c>
      <c r="M69" t="s">
        <v>105</v>
      </c>
      <c r="N69" t="s">
        <v>196</v>
      </c>
      <c r="O69" t="s">
        <v>119</v>
      </c>
    </row>
    <row r="70" spans="1:15" x14ac:dyDescent="0.25">
      <c r="A70" t="s">
        <v>123</v>
      </c>
      <c r="B70">
        <f t="shared" si="6"/>
        <v>2</v>
      </c>
      <c r="C70" s="2"/>
      <c r="F70" t="s">
        <v>16</v>
      </c>
      <c r="G70" t="s">
        <v>39</v>
      </c>
      <c r="H70" t="s">
        <v>45</v>
      </c>
      <c r="I70" t="s">
        <v>49</v>
      </c>
      <c r="J70" t="s">
        <v>148</v>
      </c>
      <c r="K70" t="s">
        <v>68</v>
      </c>
      <c r="L70" t="s">
        <v>159</v>
      </c>
      <c r="M70" t="s">
        <v>144</v>
      </c>
      <c r="N70" t="s">
        <v>187</v>
      </c>
      <c r="O70" t="s">
        <v>88</v>
      </c>
    </row>
    <row r="71" spans="1:15" x14ac:dyDescent="0.25">
      <c r="A71" t="s">
        <v>62</v>
      </c>
      <c r="B71">
        <f t="shared" si="6"/>
        <v>4</v>
      </c>
      <c r="C71" s="2"/>
      <c r="F71" t="s">
        <v>21</v>
      </c>
      <c r="G71" t="s">
        <v>170</v>
      </c>
      <c r="H71" t="s">
        <v>47</v>
      </c>
      <c r="I71" t="s">
        <v>49</v>
      </c>
      <c r="J71" t="s">
        <v>169</v>
      </c>
      <c r="K71" t="s">
        <v>55</v>
      </c>
      <c r="L71" t="s">
        <v>165</v>
      </c>
      <c r="M71" t="s">
        <v>146</v>
      </c>
      <c r="N71" t="s">
        <v>70</v>
      </c>
      <c r="O71" t="s">
        <v>94</v>
      </c>
    </row>
    <row r="72" spans="1:15" x14ac:dyDescent="0.25">
      <c r="A72" t="s">
        <v>155</v>
      </c>
      <c r="B72">
        <f t="shared" si="6"/>
        <v>3</v>
      </c>
      <c r="C72" s="2">
        <v>3.870967741935484</v>
      </c>
      <c r="D72" t="s">
        <v>34</v>
      </c>
      <c r="F72" t="s">
        <v>180</v>
      </c>
      <c r="G72" t="s">
        <v>39</v>
      </c>
      <c r="H72" t="s">
        <v>45</v>
      </c>
      <c r="I72" t="s">
        <v>55</v>
      </c>
      <c r="J72" t="s">
        <v>167</v>
      </c>
      <c r="K72" t="s">
        <v>55</v>
      </c>
      <c r="L72" t="s">
        <v>153</v>
      </c>
      <c r="M72" t="s">
        <v>112</v>
      </c>
      <c r="N72" t="s">
        <v>91</v>
      </c>
      <c r="O72" t="s">
        <v>77</v>
      </c>
    </row>
    <row r="73" spans="1:15" x14ac:dyDescent="0.25">
      <c r="A73" t="s">
        <v>15</v>
      </c>
      <c r="B73">
        <f t="shared" si="6"/>
        <v>4</v>
      </c>
      <c r="C73" s="2"/>
      <c r="F73" t="s">
        <v>198</v>
      </c>
      <c r="G73" t="s">
        <v>39</v>
      </c>
      <c r="H73" t="s">
        <v>48</v>
      </c>
      <c r="I73" t="s">
        <v>148</v>
      </c>
      <c r="J73" t="s">
        <v>166</v>
      </c>
      <c r="K73" t="s">
        <v>53</v>
      </c>
      <c r="L73" t="s">
        <v>165</v>
      </c>
      <c r="M73" t="s">
        <v>101</v>
      </c>
      <c r="N73" t="s">
        <v>31</v>
      </c>
      <c r="O73" t="s">
        <v>129</v>
      </c>
    </row>
    <row r="74" spans="1:15" x14ac:dyDescent="0.25">
      <c r="A74" t="s">
        <v>153</v>
      </c>
      <c r="B74">
        <f t="shared" si="6"/>
        <v>4</v>
      </c>
      <c r="C74" s="2"/>
      <c r="F74" t="s">
        <v>23</v>
      </c>
      <c r="G74" t="s">
        <v>39</v>
      </c>
      <c r="H74" t="s">
        <v>48</v>
      </c>
      <c r="I74" t="s">
        <v>177</v>
      </c>
      <c r="J74" t="s">
        <v>168</v>
      </c>
      <c r="K74" t="s">
        <v>52</v>
      </c>
      <c r="L74" t="s">
        <v>172</v>
      </c>
      <c r="M74" t="s">
        <v>105</v>
      </c>
      <c r="N74" t="s">
        <v>143</v>
      </c>
      <c r="O74" t="s">
        <v>137</v>
      </c>
    </row>
    <row r="75" spans="1:15" x14ac:dyDescent="0.25">
      <c r="A75" t="s">
        <v>158</v>
      </c>
      <c r="B75">
        <f t="shared" si="6"/>
        <v>2</v>
      </c>
      <c r="C75" s="2"/>
      <c r="F75" t="s">
        <v>21</v>
      </c>
      <c r="G75" t="s">
        <v>43</v>
      </c>
      <c r="H75" t="s">
        <v>45</v>
      </c>
      <c r="I75" t="s">
        <v>176</v>
      </c>
      <c r="J75" t="s">
        <v>148</v>
      </c>
      <c r="K75" t="s">
        <v>55</v>
      </c>
      <c r="L75" t="s">
        <v>58</v>
      </c>
      <c r="M75" t="s">
        <v>117</v>
      </c>
      <c r="N75" t="s">
        <v>76</v>
      </c>
      <c r="O75" t="s">
        <v>88</v>
      </c>
    </row>
    <row r="76" spans="1:15" x14ac:dyDescent="0.25">
      <c r="A76" t="s">
        <v>171</v>
      </c>
      <c r="B76">
        <f t="shared" si="6"/>
        <v>6</v>
      </c>
      <c r="C76" s="2">
        <v>1.1320754716981132</v>
      </c>
      <c r="D76" t="s">
        <v>36</v>
      </c>
      <c r="F76" t="s">
        <v>198</v>
      </c>
      <c r="G76" t="s">
        <v>39</v>
      </c>
      <c r="H76" t="s">
        <v>47</v>
      </c>
      <c r="I76" t="s">
        <v>177</v>
      </c>
      <c r="J76" t="s">
        <v>168</v>
      </c>
      <c r="K76" t="s">
        <v>55</v>
      </c>
      <c r="L76" t="s">
        <v>159</v>
      </c>
      <c r="M76" t="s">
        <v>119</v>
      </c>
      <c r="N76" t="s">
        <v>117</v>
      </c>
      <c r="O76" t="s">
        <v>92</v>
      </c>
    </row>
    <row r="77" spans="1:15" x14ac:dyDescent="0.25">
      <c r="A77" t="s">
        <v>61</v>
      </c>
      <c r="B77">
        <f t="shared" si="6"/>
        <v>3</v>
      </c>
      <c r="C77" s="2">
        <v>1.0084033613445378</v>
      </c>
      <c r="D77" t="s">
        <v>38</v>
      </c>
      <c r="F77" t="s">
        <v>26</v>
      </c>
      <c r="G77" t="s">
        <v>42</v>
      </c>
      <c r="H77" t="s">
        <v>48</v>
      </c>
      <c r="I77" t="s">
        <v>177</v>
      </c>
      <c r="J77" t="s">
        <v>201</v>
      </c>
      <c r="K77" t="s">
        <v>53</v>
      </c>
      <c r="L77" t="s">
        <v>157</v>
      </c>
      <c r="M77" t="s">
        <v>63</v>
      </c>
      <c r="N77" t="s">
        <v>107</v>
      </c>
      <c r="O77" t="s">
        <v>141</v>
      </c>
    </row>
    <row r="78" spans="1:15" x14ac:dyDescent="0.25">
      <c r="A78" t="s">
        <v>151</v>
      </c>
      <c r="B78">
        <f t="shared" si="6"/>
        <v>2</v>
      </c>
      <c r="C78" s="2">
        <v>3.75</v>
      </c>
      <c r="D78" t="s">
        <v>34</v>
      </c>
      <c r="F78" t="s">
        <v>22</v>
      </c>
      <c r="G78" t="s">
        <v>170</v>
      </c>
      <c r="H78" t="s">
        <v>45</v>
      </c>
      <c r="I78" t="s">
        <v>177</v>
      </c>
      <c r="J78" t="s">
        <v>201</v>
      </c>
      <c r="K78" t="s">
        <v>52</v>
      </c>
      <c r="L78" t="s">
        <v>171</v>
      </c>
      <c r="M78" t="s">
        <v>77</v>
      </c>
      <c r="N78" t="s">
        <v>195</v>
      </c>
      <c r="O78" t="s">
        <v>88</v>
      </c>
    </row>
    <row r="79" spans="1:15" x14ac:dyDescent="0.25">
      <c r="A79" t="s">
        <v>50</v>
      </c>
      <c r="B79">
        <f t="shared" si="6"/>
        <v>4</v>
      </c>
      <c r="C79" s="2"/>
      <c r="F79" t="s">
        <v>19</v>
      </c>
      <c r="G79" t="s">
        <v>170</v>
      </c>
      <c r="H79" t="s">
        <v>47</v>
      </c>
      <c r="I79" t="s">
        <v>176</v>
      </c>
      <c r="J79" t="s">
        <v>148</v>
      </c>
      <c r="K79" t="s">
        <v>52</v>
      </c>
      <c r="L79" t="s">
        <v>15</v>
      </c>
      <c r="M79" t="s">
        <v>146</v>
      </c>
      <c r="N79" t="s">
        <v>73</v>
      </c>
      <c r="O79" t="s">
        <v>69</v>
      </c>
    </row>
    <row r="80" spans="1:15" x14ac:dyDescent="0.25">
      <c r="A80" t="s">
        <v>58</v>
      </c>
      <c r="B80">
        <f t="shared" si="6"/>
        <v>8</v>
      </c>
      <c r="C80" s="2"/>
      <c r="F80" t="s">
        <v>21</v>
      </c>
      <c r="G80" t="s">
        <v>39</v>
      </c>
      <c r="H80" t="s">
        <v>45</v>
      </c>
      <c r="I80" t="s">
        <v>49</v>
      </c>
      <c r="J80" t="s">
        <v>168</v>
      </c>
      <c r="K80" t="s">
        <v>53</v>
      </c>
      <c r="L80" t="s">
        <v>172</v>
      </c>
      <c r="M80" t="s">
        <v>122</v>
      </c>
      <c r="N80" t="s">
        <v>105</v>
      </c>
      <c r="O80" t="s">
        <v>74</v>
      </c>
    </row>
    <row r="81" spans="1:15" x14ac:dyDescent="0.25">
      <c r="A81" t="s">
        <v>67</v>
      </c>
      <c r="B81">
        <f t="shared" si="6"/>
        <v>4</v>
      </c>
      <c r="C81" s="2"/>
      <c r="F81" t="s">
        <v>199</v>
      </c>
      <c r="G81" t="s">
        <v>39</v>
      </c>
      <c r="H81" t="s">
        <v>45</v>
      </c>
      <c r="I81" t="s">
        <v>176</v>
      </c>
      <c r="J81" t="s">
        <v>148</v>
      </c>
      <c r="K81" t="s">
        <v>52</v>
      </c>
      <c r="L81" t="s">
        <v>14</v>
      </c>
      <c r="M81" t="s">
        <v>132</v>
      </c>
      <c r="N81" t="s">
        <v>138</v>
      </c>
      <c r="O81" t="s">
        <v>186</v>
      </c>
    </row>
    <row r="82" spans="1:15" x14ac:dyDescent="0.25">
      <c r="A82" t="s">
        <v>161</v>
      </c>
      <c r="B82">
        <f t="shared" si="6"/>
        <v>2</v>
      </c>
      <c r="C82" s="2">
        <v>2.3529411764705883</v>
      </c>
      <c r="D82" t="s">
        <v>35</v>
      </c>
      <c r="F82" t="s">
        <v>19</v>
      </c>
      <c r="G82" t="s">
        <v>40</v>
      </c>
      <c r="H82" t="s">
        <v>45</v>
      </c>
      <c r="I82" t="s">
        <v>177</v>
      </c>
      <c r="J82" t="s">
        <v>168</v>
      </c>
      <c r="K82" t="s">
        <v>52</v>
      </c>
      <c r="L82" t="s">
        <v>171</v>
      </c>
      <c r="M82" t="s">
        <v>143</v>
      </c>
      <c r="N82" t="s">
        <v>111</v>
      </c>
      <c r="O82" t="s">
        <v>191</v>
      </c>
    </row>
    <row r="83" spans="1:15" x14ac:dyDescent="0.25">
      <c r="A83" t="s">
        <v>162</v>
      </c>
      <c r="B83">
        <f t="shared" si="6"/>
        <v>3</v>
      </c>
      <c r="C83" s="2"/>
      <c r="F83" t="s">
        <v>64</v>
      </c>
      <c r="G83" t="s">
        <v>42</v>
      </c>
      <c r="H83" t="s">
        <v>47</v>
      </c>
      <c r="I83" t="s">
        <v>178</v>
      </c>
      <c r="J83" t="s">
        <v>169</v>
      </c>
      <c r="K83" t="s">
        <v>55</v>
      </c>
      <c r="L83" t="s">
        <v>13</v>
      </c>
      <c r="M83" t="s">
        <v>97</v>
      </c>
      <c r="N83" t="s">
        <v>120</v>
      </c>
      <c r="O83" t="s">
        <v>114</v>
      </c>
    </row>
    <row r="84" spans="1:15" x14ac:dyDescent="0.25">
      <c r="A84" t="s">
        <v>163</v>
      </c>
      <c r="B84">
        <f t="shared" si="6"/>
        <v>5</v>
      </c>
      <c r="C84" s="2">
        <v>3.6363636363636362</v>
      </c>
      <c r="D84" t="s">
        <v>38</v>
      </c>
      <c r="F84" t="s">
        <v>22</v>
      </c>
      <c r="G84" t="s">
        <v>39</v>
      </c>
      <c r="H84" t="s">
        <v>45</v>
      </c>
      <c r="I84" t="s">
        <v>177</v>
      </c>
      <c r="J84" t="s">
        <v>167</v>
      </c>
      <c r="K84" t="s">
        <v>68</v>
      </c>
      <c r="L84" t="s">
        <v>164</v>
      </c>
      <c r="M84" t="s">
        <v>190</v>
      </c>
      <c r="N84" t="s">
        <v>93</v>
      </c>
      <c r="O84" t="s">
        <v>102</v>
      </c>
    </row>
    <row r="85" spans="1:15" x14ac:dyDescent="0.25">
      <c r="A85" t="s">
        <v>192</v>
      </c>
      <c r="B85">
        <f t="shared" si="6"/>
        <v>4</v>
      </c>
      <c r="C85" s="2"/>
      <c r="F85" t="s">
        <v>199</v>
      </c>
      <c r="G85" t="s">
        <v>42</v>
      </c>
      <c r="H85" t="s">
        <v>45</v>
      </c>
      <c r="I85" t="s">
        <v>49</v>
      </c>
      <c r="J85" t="s">
        <v>168</v>
      </c>
      <c r="K85" t="s">
        <v>52</v>
      </c>
      <c r="L85" t="s">
        <v>161</v>
      </c>
      <c r="M85" t="s">
        <v>147</v>
      </c>
      <c r="N85" t="s">
        <v>124</v>
      </c>
      <c r="O85" t="s">
        <v>138</v>
      </c>
    </row>
    <row r="86" spans="1:15" x14ac:dyDescent="0.25">
      <c r="A86" t="s">
        <v>203</v>
      </c>
      <c r="B86">
        <f t="shared" si="6"/>
        <v>0</v>
      </c>
      <c r="C86" s="2"/>
      <c r="F86" t="s">
        <v>22</v>
      </c>
      <c r="G86" t="s">
        <v>42</v>
      </c>
      <c r="H86" t="s">
        <v>48</v>
      </c>
      <c r="I86" t="s">
        <v>177</v>
      </c>
      <c r="J86" t="s">
        <v>148</v>
      </c>
      <c r="K86" t="s">
        <v>53</v>
      </c>
      <c r="L86" t="s">
        <v>61</v>
      </c>
      <c r="M86" t="s">
        <v>106</v>
      </c>
      <c r="N86" t="s">
        <v>30</v>
      </c>
      <c r="O86" t="s">
        <v>96</v>
      </c>
    </row>
    <row r="87" spans="1:15" x14ac:dyDescent="0.25">
      <c r="A87" t="s">
        <v>157</v>
      </c>
      <c r="B87">
        <f t="shared" si="6"/>
        <v>4</v>
      </c>
      <c r="C87" s="2"/>
      <c r="F87" t="s">
        <v>24</v>
      </c>
      <c r="G87" t="s">
        <v>39</v>
      </c>
      <c r="H87" t="s">
        <v>46</v>
      </c>
      <c r="I87" t="s">
        <v>148</v>
      </c>
      <c r="J87" t="s">
        <v>201</v>
      </c>
      <c r="K87" t="s">
        <v>53</v>
      </c>
      <c r="L87" t="s">
        <v>153</v>
      </c>
      <c r="M87" t="s">
        <v>96</v>
      </c>
      <c r="N87" t="s">
        <v>175</v>
      </c>
      <c r="O87" t="s">
        <v>126</v>
      </c>
    </row>
    <row r="88" spans="1:15" x14ac:dyDescent="0.25">
      <c r="A88" t="s">
        <v>60</v>
      </c>
      <c r="B88">
        <f t="shared" si="6"/>
        <v>3</v>
      </c>
      <c r="C88" s="2">
        <v>2.3076923076923075</v>
      </c>
      <c r="D88" t="s">
        <v>35</v>
      </c>
      <c r="F88" t="s">
        <v>22</v>
      </c>
      <c r="G88" t="s">
        <v>42</v>
      </c>
      <c r="H88" t="s">
        <v>47</v>
      </c>
      <c r="I88" t="s">
        <v>148</v>
      </c>
      <c r="J88" t="s">
        <v>148</v>
      </c>
      <c r="K88" t="s">
        <v>52</v>
      </c>
      <c r="L88" t="s">
        <v>172</v>
      </c>
      <c r="M88" t="s">
        <v>129</v>
      </c>
      <c r="N88" t="s">
        <v>145</v>
      </c>
      <c r="O88" t="s">
        <v>190</v>
      </c>
    </row>
    <row r="89" spans="1:15" x14ac:dyDescent="0.25">
      <c r="A89" t="s">
        <v>154</v>
      </c>
      <c r="B89">
        <f t="shared" si="6"/>
        <v>7</v>
      </c>
      <c r="C89" s="2"/>
      <c r="F89" t="s">
        <v>197</v>
      </c>
      <c r="G89" t="s">
        <v>39</v>
      </c>
      <c r="H89" t="s">
        <v>47</v>
      </c>
      <c r="I89" t="s">
        <v>148</v>
      </c>
      <c r="J89" t="s">
        <v>168</v>
      </c>
      <c r="K89" t="s">
        <v>68</v>
      </c>
      <c r="L89" t="s">
        <v>165</v>
      </c>
      <c r="M89" t="s">
        <v>89</v>
      </c>
      <c r="N89" t="s">
        <v>109</v>
      </c>
      <c r="O89" t="s">
        <v>71</v>
      </c>
    </row>
    <row r="90" spans="1:15" x14ac:dyDescent="0.25">
      <c r="C90" s="2">
        <v>1.0909090909090908</v>
      </c>
      <c r="D90" t="s">
        <v>35</v>
      </c>
      <c r="F90" t="s">
        <v>21</v>
      </c>
      <c r="G90" t="s">
        <v>39</v>
      </c>
      <c r="H90" t="s">
        <v>44</v>
      </c>
      <c r="I90" t="s">
        <v>49</v>
      </c>
      <c r="J90" t="s">
        <v>169</v>
      </c>
      <c r="K90" t="s">
        <v>51</v>
      </c>
      <c r="L90" t="s">
        <v>62</v>
      </c>
      <c r="M90" t="s">
        <v>94</v>
      </c>
      <c r="N90" t="s">
        <v>31</v>
      </c>
      <c r="O90" t="s">
        <v>128</v>
      </c>
    </row>
    <row r="91" spans="1:15" x14ac:dyDescent="0.25">
      <c r="A91" t="s">
        <v>93</v>
      </c>
      <c r="B91">
        <f>COUNTIF($M$1:$O$121,A91)</f>
        <v>5</v>
      </c>
      <c r="C91" s="2">
        <v>1.2</v>
      </c>
      <c r="D91" t="s">
        <v>34</v>
      </c>
      <c r="F91" t="s">
        <v>198</v>
      </c>
      <c r="G91" t="s">
        <v>39</v>
      </c>
      <c r="H91" t="s">
        <v>46</v>
      </c>
      <c r="I91" t="s">
        <v>176</v>
      </c>
      <c r="J91" t="s">
        <v>167</v>
      </c>
      <c r="K91" t="s">
        <v>53</v>
      </c>
      <c r="L91" t="s">
        <v>164</v>
      </c>
      <c r="M91" t="s">
        <v>118</v>
      </c>
      <c r="N91" t="s">
        <v>175</v>
      </c>
      <c r="O91" t="s">
        <v>82</v>
      </c>
    </row>
    <row r="92" spans="1:15" x14ac:dyDescent="0.25">
      <c r="A92" t="s">
        <v>88</v>
      </c>
      <c r="B92">
        <f t="shared" ref="B92:B155" si="7">COUNTIF($M$1:$O$121,A92)</f>
        <v>4</v>
      </c>
      <c r="C92" s="2">
        <v>1.9672131147540983</v>
      </c>
      <c r="D92" t="s">
        <v>36</v>
      </c>
      <c r="F92" t="s">
        <v>22</v>
      </c>
      <c r="G92" t="s">
        <v>39</v>
      </c>
      <c r="H92" t="s">
        <v>47</v>
      </c>
      <c r="I92" t="s">
        <v>178</v>
      </c>
      <c r="J92" t="s">
        <v>167</v>
      </c>
      <c r="K92" t="s">
        <v>52</v>
      </c>
      <c r="L92" t="s">
        <v>62</v>
      </c>
      <c r="M92" t="s">
        <v>188</v>
      </c>
      <c r="N92" t="s">
        <v>188</v>
      </c>
      <c r="O92" t="s">
        <v>112</v>
      </c>
    </row>
    <row r="93" spans="1:15" x14ac:dyDescent="0.25">
      <c r="A93" t="s">
        <v>83</v>
      </c>
      <c r="B93">
        <f t="shared" si="7"/>
        <v>4</v>
      </c>
      <c r="C93" s="2"/>
      <c r="F93" t="s">
        <v>28</v>
      </c>
      <c r="G93" t="s">
        <v>39</v>
      </c>
      <c r="H93" t="s">
        <v>45</v>
      </c>
      <c r="I93" t="s">
        <v>148</v>
      </c>
      <c r="J93" t="s">
        <v>168</v>
      </c>
      <c r="K93" t="s">
        <v>55</v>
      </c>
      <c r="L93" t="s">
        <v>164</v>
      </c>
      <c r="M93" t="s">
        <v>134</v>
      </c>
      <c r="N93" t="s">
        <v>119</v>
      </c>
      <c r="O93" t="s">
        <v>127</v>
      </c>
    </row>
    <row r="94" spans="1:15" x14ac:dyDescent="0.25">
      <c r="A94" t="s">
        <v>107</v>
      </c>
      <c r="B94">
        <f t="shared" si="7"/>
        <v>4</v>
      </c>
      <c r="C94" s="2">
        <v>1.7647058823529411</v>
      </c>
      <c r="D94" t="s">
        <v>35</v>
      </c>
      <c r="F94" t="s">
        <v>182</v>
      </c>
      <c r="G94" t="s">
        <v>42</v>
      </c>
      <c r="H94" t="s">
        <v>45</v>
      </c>
      <c r="I94" t="s">
        <v>148</v>
      </c>
      <c r="J94" t="s">
        <v>201</v>
      </c>
      <c r="K94" t="s">
        <v>53</v>
      </c>
      <c r="L94" t="s">
        <v>60</v>
      </c>
      <c r="M94" t="s">
        <v>147</v>
      </c>
      <c r="N94" t="s">
        <v>107</v>
      </c>
      <c r="O94" t="s">
        <v>111</v>
      </c>
    </row>
    <row r="95" spans="1:15" x14ac:dyDescent="0.25">
      <c r="A95" t="s">
        <v>82</v>
      </c>
      <c r="B95">
        <f t="shared" si="7"/>
        <v>6</v>
      </c>
      <c r="C95" s="2"/>
      <c r="F95" t="s">
        <v>18</v>
      </c>
      <c r="G95" t="s">
        <v>40</v>
      </c>
      <c r="H95" t="s">
        <v>48</v>
      </c>
      <c r="I95" t="s">
        <v>176</v>
      </c>
      <c r="J95" t="s">
        <v>167</v>
      </c>
      <c r="K95" t="s">
        <v>68</v>
      </c>
      <c r="L95" t="s">
        <v>157</v>
      </c>
      <c r="M95" t="s">
        <v>74</v>
      </c>
      <c r="N95" t="s">
        <v>189</v>
      </c>
      <c r="O95" t="s">
        <v>174</v>
      </c>
    </row>
    <row r="96" spans="1:15" x14ac:dyDescent="0.25">
      <c r="A96" t="s">
        <v>187</v>
      </c>
      <c r="B96">
        <f t="shared" si="7"/>
        <v>5</v>
      </c>
      <c r="C96" s="2">
        <v>2.0689655172413794</v>
      </c>
      <c r="D96" t="s">
        <v>36</v>
      </c>
      <c r="F96" t="s">
        <v>64</v>
      </c>
      <c r="G96" t="s">
        <v>39</v>
      </c>
      <c r="H96" t="s">
        <v>44</v>
      </c>
      <c r="I96" t="s">
        <v>176</v>
      </c>
      <c r="J96" t="s">
        <v>148</v>
      </c>
      <c r="K96" t="s">
        <v>54</v>
      </c>
      <c r="L96" t="s">
        <v>171</v>
      </c>
      <c r="M96" t="s">
        <v>143</v>
      </c>
      <c r="N96" t="s">
        <v>131</v>
      </c>
      <c r="O96" t="s">
        <v>105</v>
      </c>
    </row>
    <row r="97" spans="1:15" x14ac:dyDescent="0.25">
      <c r="A97" t="s">
        <v>194</v>
      </c>
      <c r="B97">
        <f t="shared" si="7"/>
        <v>1</v>
      </c>
      <c r="C97" s="2"/>
      <c r="F97" t="s">
        <v>25</v>
      </c>
      <c r="G97" t="s">
        <v>41</v>
      </c>
      <c r="H97" t="s">
        <v>47</v>
      </c>
      <c r="I97" t="s">
        <v>49</v>
      </c>
      <c r="J97" t="s">
        <v>201</v>
      </c>
      <c r="K97" t="s">
        <v>53</v>
      </c>
      <c r="L97" t="s">
        <v>154</v>
      </c>
      <c r="M97" t="s">
        <v>195</v>
      </c>
      <c r="N97" t="s">
        <v>77</v>
      </c>
      <c r="O97" t="s">
        <v>120</v>
      </c>
    </row>
    <row r="98" spans="1:15" x14ac:dyDescent="0.25">
      <c r="A98" t="s">
        <v>140</v>
      </c>
      <c r="B98">
        <f t="shared" si="7"/>
        <v>2</v>
      </c>
      <c r="C98" s="2">
        <v>4</v>
      </c>
      <c r="D98" t="s">
        <v>36</v>
      </c>
      <c r="F98" t="s">
        <v>180</v>
      </c>
      <c r="G98" t="s">
        <v>39</v>
      </c>
      <c r="H98" t="s">
        <v>45</v>
      </c>
      <c r="I98" t="s">
        <v>148</v>
      </c>
      <c r="J98" t="s">
        <v>168</v>
      </c>
      <c r="K98" t="s">
        <v>55</v>
      </c>
      <c r="L98" t="s">
        <v>159</v>
      </c>
      <c r="M98" t="s">
        <v>92</v>
      </c>
      <c r="N98" t="s">
        <v>98</v>
      </c>
      <c r="O98" t="s">
        <v>109</v>
      </c>
    </row>
    <row r="99" spans="1:15" x14ac:dyDescent="0.25">
      <c r="A99" t="s">
        <v>110</v>
      </c>
      <c r="B99">
        <f t="shared" si="7"/>
        <v>6</v>
      </c>
      <c r="C99" s="2"/>
      <c r="F99" t="s">
        <v>26</v>
      </c>
      <c r="G99" t="s">
        <v>170</v>
      </c>
      <c r="H99" t="s">
        <v>48</v>
      </c>
      <c r="I99" t="s">
        <v>148</v>
      </c>
      <c r="J99" t="s">
        <v>167</v>
      </c>
      <c r="K99" t="s">
        <v>52</v>
      </c>
      <c r="L99" t="s">
        <v>164</v>
      </c>
      <c r="M99" t="s">
        <v>90</v>
      </c>
      <c r="N99" t="s">
        <v>75</v>
      </c>
      <c r="O99" t="s">
        <v>134</v>
      </c>
    </row>
    <row r="100" spans="1:15" x14ac:dyDescent="0.25">
      <c r="A100" t="s">
        <v>116</v>
      </c>
      <c r="B100">
        <f t="shared" si="7"/>
        <v>2</v>
      </c>
      <c r="C100" s="2"/>
      <c r="F100" t="s">
        <v>18</v>
      </c>
      <c r="G100" t="s">
        <v>43</v>
      </c>
      <c r="H100" t="s">
        <v>45</v>
      </c>
      <c r="I100" t="s">
        <v>177</v>
      </c>
      <c r="J100" t="s">
        <v>148</v>
      </c>
      <c r="K100" t="s">
        <v>51</v>
      </c>
      <c r="L100" t="s">
        <v>172</v>
      </c>
      <c r="M100" t="s">
        <v>103</v>
      </c>
      <c r="N100" t="s">
        <v>191</v>
      </c>
      <c r="O100" t="s">
        <v>110</v>
      </c>
    </row>
    <row r="101" spans="1:15" x14ac:dyDescent="0.25">
      <c r="A101" t="s">
        <v>188</v>
      </c>
      <c r="B101">
        <f t="shared" si="7"/>
        <v>3</v>
      </c>
      <c r="C101" s="2"/>
      <c r="F101" t="s">
        <v>23</v>
      </c>
      <c r="G101" t="s">
        <v>41</v>
      </c>
      <c r="H101" t="s">
        <v>47</v>
      </c>
      <c r="I101" t="s">
        <v>178</v>
      </c>
      <c r="J101" t="s">
        <v>169</v>
      </c>
      <c r="K101" t="s">
        <v>54</v>
      </c>
      <c r="L101" t="s">
        <v>179</v>
      </c>
      <c r="M101" t="s">
        <v>186</v>
      </c>
      <c r="N101" t="s">
        <v>75</v>
      </c>
      <c r="O101" t="s">
        <v>80</v>
      </c>
    </row>
    <row r="102" spans="1:15" x14ac:dyDescent="0.25">
      <c r="A102" t="s">
        <v>196</v>
      </c>
      <c r="B102">
        <f t="shared" si="7"/>
        <v>1</v>
      </c>
      <c r="C102" s="2">
        <v>1.5584415584415585</v>
      </c>
      <c r="D102" t="s">
        <v>34</v>
      </c>
      <c r="F102" t="s">
        <v>23</v>
      </c>
      <c r="G102" t="s">
        <v>170</v>
      </c>
      <c r="H102" t="s">
        <v>48</v>
      </c>
      <c r="I102" t="s">
        <v>176</v>
      </c>
      <c r="J102" t="s">
        <v>201</v>
      </c>
      <c r="K102" t="s">
        <v>53</v>
      </c>
      <c r="L102" t="s">
        <v>156</v>
      </c>
      <c r="M102" t="s">
        <v>99</v>
      </c>
      <c r="N102" t="s">
        <v>74</v>
      </c>
      <c r="O102" t="s">
        <v>104</v>
      </c>
    </row>
    <row r="103" spans="1:15" x14ac:dyDescent="0.25">
      <c r="A103" t="s">
        <v>126</v>
      </c>
      <c r="B103">
        <f t="shared" si="7"/>
        <v>3</v>
      </c>
      <c r="C103" s="2"/>
      <c r="F103" t="s">
        <v>19</v>
      </c>
      <c r="G103" t="s">
        <v>42</v>
      </c>
      <c r="H103" t="s">
        <v>47</v>
      </c>
      <c r="I103" t="s">
        <v>176</v>
      </c>
      <c r="J103" t="s">
        <v>168</v>
      </c>
      <c r="K103" t="s">
        <v>53</v>
      </c>
      <c r="L103" t="s">
        <v>13</v>
      </c>
      <c r="M103" t="s">
        <v>89</v>
      </c>
      <c r="N103" t="s">
        <v>147</v>
      </c>
      <c r="O103" t="s">
        <v>73</v>
      </c>
    </row>
    <row r="104" spans="1:15" x14ac:dyDescent="0.25">
      <c r="A104" t="s">
        <v>31</v>
      </c>
      <c r="B104">
        <f t="shared" si="7"/>
        <v>5</v>
      </c>
      <c r="C104" s="2">
        <v>1.1214953271028036</v>
      </c>
      <c r="D104" t="s">
        <v>34</v>
      </c>
      <c r="F104" t="s">
        <v>180</v>
      </c>
      <c r="G104" t="s">
        <v>43</v>
      </c>
      <c r="H104" t="s">
        <v>45</v>
      </c>
      <c r="I104" t="s">
        <v>55</v>
      </c>
      <c r="J104" t="s">
        <v>169</v>
      </c>
      <c r="K104" t="s">
        <v>53</v>
      </c>
      <c r="L104" t="s">
        <v>163</v>
      </c>
      <c r="M104" t="s">
        <v>147</v>
      </c>
      <c r="N104" t="s">
        <v>66</v>
      </c>
      <c r="O104" t="s">
        <v>85</v>
      </c>
    </row>
    <row r="105" spans="1:15" x14ac:dyDescent="0.25">
      <c r="A105" t="s">
        <v>114</v>
      </c>
      <c r="B105">
        <f t="shared" si="7"/>
        <v>3</v>
      </c>
      <c r="C105" s="2">
        <v>1.1428571428571428</v>
      </c>
      <c r="D105" t="s">
        <v>35</v>
      </c>
      <c r="F105" t="s">
        <v>180</v>
      </c>
      <c r="G105" t="s">
        <v>170</v>
      </c>
      <c r="H105" t="s">
        <v>45</v>
      </c>
      <c r="I105" t="s">
        <v>148</v>
      </c>
      <c r="J105" t="s">
        <v>201</v>
      </c>
      <c r="K105" t="s">
        <v>53</v>
      </c>
      <c r="L105" t="s">
        <v>163</v>
      </c>
      <c r="M105" t="s">
        <v>84</v>
      </c>
      <c r="N105" t="s">
        <v>96</v>
      </c>
      <c r="O105" t="s">
        <v>98</v>
      </c>
    </row>
    <row r="106" spans="1:15" x14ac:dyDescent="0.25">
      <c r="A106" t="s">
        <v>111</v>
      </c>
      <c r="B106">
        <f t="shared" si="7"/>
        <v>7</v>
      </c>
      <c r="C106" s="2">
        <v>1.7142857142857142</v>
      </c>
      <c r="D106" t="s">
        <v>36</v>
      </c>
      <c r="F106" t="s">
        <v>199</v>
      </c>
      <c r="G106" t="s">
        <v>170</v>
      </c>
      <c r="H106" t="s">
        <v>46</v>
      </c>
      <c r="I106" t="s">
        <v>176</v>
      </c>
      <c r="J106" t="s">
        <v>168</v>
      </c>
      <c r="K106" t="s">
        <v>51</v>
      </c>
      <c r="L106" t="s">
        <v>154</v>
      </c>
      <c r="M106" t="s">
        <v>137</v>
      </c>
      <c r="N106" t="s">
        <v>78</v>
      </c>
      <c r="O106" t="s">
        <v>110</v>
      </c>
    </row>
    <row r="107" spans="1:15" x14ac:dyDescent="0.25">
      <c r="A107" t="s">
        <v>129</v>
      </c>
      <c r="B107">
        <f t="shared" si="7"/>
        <v>4</v>
      </c>
      <c r="C107" s="2"/>
      <c r="F107" t="s">
        <v>181</v>
      </c>
      <c r="G107" t="s">
        <v>41</v>
      </c>
      <c r="H107" t="s">
        <v>46</v>
      </c>
      <c r="I107" t="s">
        <v>176</v>
      </c>
      <c r="J107" t="s">
        <v>167</v>
      </c>
      <c r="K107" t="s">
        <v>54</v>
      </c>
      <c r="L107" t="s">
        <v>13</v>
      </c>
      <c r="M107" t="s">
        <v>98</v>
      </c>
      <c r="N107" t="s">
        <v>72</v>
      </c>
      <c r="O107" t="s">
        <v>66</v>
      </c>
    </row>
    <row r="108" spans="1:15" x14ac:dyDescent="0.25">
      <c r="A108" t="s">
        <v>145</v>
      </c>
      <c r="B108">
        <f t="shared" si="7"/>
        <v>4</v>
      </c>
      <c r="C108" s="2">
        <v>1.1650485436893203</v>
      </c>
      <c r="D108" t="s">
        <v>36</v>
      </c>
      <c r="F108" t="s">
        <v>22</v>
      </c>
      <c r="G108" t="s">
        <v>39</v>
      </c>
      <c r="H108" t="s">
        <v>48</v>
      </c>
      <c r="I108" t="s">
        <v>148</v>
      </c>
      <c r="J108" t="s">
        <v>167</v>
      </c>
      <c r="K108" t="s">
        <v>55</v>
      </c>
      <c r="L108" t="s">
        <v>172</v>
      </c>
      <c r="M108" t="s">
        <v>111</v>
      </c>
      <c r="N108" t="s">
        <v>140</v>
      </c>
      <c r="O108" t="s">
        <v>83</v>
      </c>
    </row>
    <row r="109" spans="1:15" x14ac:dyDescent="0.25">
      <c r="A109" t="s">
        <v>65</v>
      </c>
      <c r="B109">
        <f t="shared" si="7"/>
        <v>4</v>
      </c>
      <c r="C109" s="2">
        <v>1.0344827586206897</v>
      </c>
      <c r="D109" t="s">
        <v>38</v>
      </c>
      <c r="F109" t="s">
        <v>28</v>
      </c>
      <c r="G109" t="s">
        <v>42</v>
      </c>
      <c r="H109" t="s">
        <v>46</v>
      </c>
      <c r="I109" t="s">
        <v>49</v>
      </c>
      <c r="J109" t="s">
        <v>201</v>
      </c>
      <c r="K109" t="s">
        <v>52</v>
      </c>
      <c r="L109" t="s">
        <v>157</v>
      </c>
      <c r="M109" t="s">
        <v>94</v>
      </c>
      <c r="N109" t="s">
        <v>122</v>
      </c>
      <c r="O109" t="s">
        <v>98</v>
      </c>
    </row>
    <row r="110" spans="1:15" x14ac:dyDescent="0.25">
      <c r="A110" t="s">
        <v>92</v>
      </c>
      <c r="B110">
        <f t="shared" si="7"/>
        <v>4</v>
      </c>
      <c r="C110" s="2">
        <v>1.6666666666666667</v>
      </c>
      <c r="D110" t="s">
        <v>35</v>
      </c>
      <c r="F110" t="s">
        <v>21</v>
      </c>
      <c r="G110" t="s">
        <v>170</v>
      </c>
      <c r="H110" t="s">
        <v>45</v>
      </c>
      <c r="I110" t="s">
        <v>177</v>
      </c>
      <c r="J110" t="s">
        <v>169</v>
      </c>
      <c r="K110" t="s">
        <v>52</v>
      </c>
      <c r="L110" t="s">
        <v>50</v>
      </c>
      <c r="M110" t="s">
        <v>114</v>
      </c>
      <c r="N110" t="s">
        <v>119</v>
      </c>
      <c r="O110" t="s">
        <v>123</v>
      </c>
    </row>
    <row r="111" spans="1:15" x14ac:dyDescent="0.25">
      <c r="A111" t="s">
        <v>104</v>
      </c>
      <c r="B111">
        <f t="shared" si="7"/>
        <v>4</v>
      </c>
      <c r="C111" s="2"/>
      <c r="F111" t="s">
        <v>22</v>
      </c>
      <c r="G111" t="s">
        <v>43</v>
      </c>
      <c r="H111" t="s">
        <v>45</v>
      </c>
      <c r="I111" t="s">
        <v>55</v>
      </c>
      <c r="J111" t="s">
        <v>168</v>
      </c>
      <c r="K111" t="s">
        <v>53</v>
      </c>
      <c r="L111" t="s">
        <v>14</v>
      </c>
      <c r="M111" t="s">
        <v>145</v>
      </c>
      <c r="N111" t="s">
        <v>97</v>
      </c>
      <c r="O111" t="s">
        <v>74</v>
      </c>
    </row>
    <row r="112" spans="1:15" x14ac:dyDescent="0.25">
      <c r="A112" t="s">
        <v>106</v>
      </c>
      <c r="B112">
        <f t="shared" si="7"/>
        <v>4</v>
      </c>
      <c r="C112" s="2">
        <v>6.666666666666667</v>
      </c>
      <c r="D112" t="s">
        <v>38</v>
      </c>
      <c r="F112" t="s">
        <v>180</v>
      </c>
      <c r="G112" t="s">
        <v>43</v>
      </c>
      <c r="H112" t="s">
        <v>45</v>
      </c>
      <c r="I112" t="s">
        <v>49</v>
      </c>
      <c r="J112" t="s">
        <v>168</v>
      </c>
      <c r="K112" t="s">
        <v>52</v>
      </c>
      <c r="L112" t="s">
        <v>58</v>
      </c>
      <c r="M112" t="s">
        <v>89</v>
      </c>
      <c r="N112" t="s">
        <v>79</v>
      </c>
      <c r="O112" t="s">
        <v>65</v>
      </c>
    </row>
    <row r="113" spans="1:15" x14ac:dyDescent="0.25">
      <c r="A113" t="s">
        <v>101</v>
      </c>
      <c r="B113">
        <f t="shared" si="7"/>
        <v>3</v>
      </c>
      <c r="C113" s="2"/>
      <c r="F113" t="s">
        <v>64</v>
      </c>
      <c r="G113" t="s">
        <v>39</v>
      </c>
      <c r="H113" t="s">
        <v>48</v>
      </c>
      <c r="I113" t="s">
        <v>148</v>
      </c>
      <c r="J113" t="s">
        <v>201</v>
      </c>
      <c r="K113" t="s">
        <v>53</v>
      </c>
      <c r="L113" t="s">
        <v>62</v>
      </c>
      <c r="M113" t="s">
        <v>76</v>
      </c>
      <c r="N113" t="s">
        <v>143</v>
      </c>
      <c r="O113" t="s">
        <v>94</v>
      </c>
    </row>
    <row r="114" spans="1:15" x14ac:dyDescent="0.25">
      <c r="A114" t="s">
        <v>78</v>
      </c>
      <c r="B114">
        <f t="shared" si="7"/>
        <v>5</v>
      </c>
      <c r="C114" s="2"/>
      <c r="F114" t="s">
        <v>180</v>
      </c>
      <c r="G114" t="s">
        <v>42</v>
      </c>
      <c r="H114" t="s">
        <v>45</v>
      </c>
      <c r="I114" t="s">
        <v>55</v>
      </c>
      <c r="J114" t="s">
        <v>201</v>
      </c>
      <c r="K114" t="s">
        <v>68</v>
      </c>
      <c r="L114" t="s">
        <v>192</v>
      </c>
      <c r="M114" t="s">
        <v>102</v>
      </c>
      <c r="N114" t="s">
        <v>117</v>
      </c>
      <c r="O114" t="s">
        <v>138</v>
      </c>
    </row>
    <row r="115" spans="1:15" x14ac:dyDescent="0.25">
      <c r="A115" t="s">
        <v>143</v>
      </c>
      <c r="B115">
        <f t="shared" si="7"/>
        <v>8</v>
      </c>
      <c r="C115" s="2"/>
      <c r="F115" t="s">
        <v>23</v>
      </c>
      <c r="G115" t="s">
        <v>40</v>
      </c>
      <c r="H115" t="s">
        <v>45</v>
      </c>
      <c r="I115" t="s">
        <v>49</v>
      </c>
      <c r="J115" t="s">
        <v>148</v>
      </c>
      <c r="K115" t="s">
        <v>53</v>
      </c>
      <c r="L115" t="s">
        <v>173</v>
      </c>
      <c r="M115" t="s">
        <v>142</v>
      </c>
      <c r="N115" t="s">
        <v>195</v>
      </c>
      <c r="O115" t="s">
        <v>91</v>
      </c>
    </row>
    <row r="116" spans="1:15" x14ac:dyDescent="0.25">
      <c r="A116" t="s">
        <v>193</v>
      </c>
      <c r="B116">
        <f t="shared" si="7"/>
        <v>1</v>
      </c>
      <c r="C116" s="2"/>
      <c r="F116" t="s">
        <v>21</v>
      </c>
      <c r="G116" t="s">
        <v>42</v>
      </c>
      <c r="H116" t="s">
        <v>47</v>
      </c>
      <c r="I116" t="s">
        <v>177</v>
      </c>
      <c r="J116" t="s">
        <v>201</v>
      </c>
      <c r="K116" t="s">
        <v>52</v>
      </c>
      <c r="L116" t="s">
        <v>58</v>
      </c>
      <c r="M116" t="s">
        <v>107</v>
      </c>
      <c r="N116" t="s">
        <v>115</v>
      </c>
      <c r="O116" t="s">
        <v>189</v>
      </c>
    </row>
    <row r="117" spans="1:15" x14ac:dyDescent="0.25">
      <c r="A117" t="s">
        <v>146</v>
      </c>
      <c r="B117">
        <f t="shared" si="7"/>
        <v>2</v>
      </c>
      <c r="C117" s="2"/>
      <c r="F117" t="s">
        <v>23</v>
      </c>
      <c r="G117" t="s">
        <v>170</v>
      </c>
      <c r="H117" t="s">
        <v>47</v>
      </c>
      <c r="I117" t="s">
        <v>178</v>
      </c>
      <c r="J117" t="s">
        <v>201</v>
      </c>
      <c r="K117" t="s">
        <v>53</v>
      </c>
      <c r="L117" t="s">
        <v>158</v>
      </c>
      <c r="M117" t="s">
        <v>189</v>
      </c>
      <c r="N117" t="s">
        <v>105</v>
      </c>
      <c r="O117" t="s">
        <v>136</v>
      </c>
    </row>
    <row r="118" spans="1:15" x14ac:dyDescent="0.25">
      <c r="A118" t="s">
        <v>121</v>
      </c>
      <c r="B118">
        <f t="shared" si="7"/>
        <v>0</v>
      </c>
      <c r="C118" s="2"/>
      <c r="F118" t="s">
        <v>180</v>
      </c>
      <c r="G118" t="s">
        <v>40</v>
      </c>
      <c r="H118" t="s">
        <v>45</v>
      </c>
      <c r="I118" t="s">
        <v>176</v>
      </c>
      <c r="J118" t="s">
        <v>201</v>
      </c>
      <c r="K118" t="s">
        <v>68</v>
      </c>
      <c r="L118" t="s">
        <v>155</v>
      </c>
      <c r="M118" t="s">
        <v>189</v>
      </c>
      <c r="N118" t="s">
        <v>95</v>
      </c>
      <c r="O118" t="s">
        <v>56</v>
      </c>
    </row>
    <row r="119" spans="1:15" x14ac:dyDescent="0.25">
      <c r="A119" t="s">
        <v>132</v>
      </c>
      <c r="B119">
        <f t="shared" si="7"/>
        <v>3</v>
      </c>
      <c r="C119" s="2">
        <v>1.4285714285714286</v>
      </c>
      <c r="D119" t="s">
        <v>37</v>
      </c>
      <c r="F119" t="s">
        <v>199</v>
      </c>
      <c r="G119" t="s">
        <v>39</v>
      </c>
      <c r="H119" t="s">
        <v>48</v>
      </c>
      <c r="I119" t="s">
        <v>49</v>
      </c>
      <c r="J119" t="s">
        <v>168</v>
      </c>
      <c r="K119" t="s">
        <v>55</v>
      </c>
      <c r="L119" t="s">
        <v>151</v>
      </c>
      <c r="M119" t="s">
        <v>185</v>
      </c>
      <c r="N119" t="s">
        <v>74</v>
      </c>
      <c r="O119" t="s">
        <v>187</v>
      </c>
    </row>
    <row r="120" spans="1:15" x14ac:dyDescent="0.25">
      <c r="A120" t="s">
        <v>115</v>
      </c>
      <c r="B120">
        <f t="shared" si="7"/>
        <v>2</v>
      </c>
      <c r="C120" s="2">
        <v>2</v>
      </c>
      <c r="D120" t="s">
        <v>36</v>
      </c>
      <c r="F120" t="s">
        <v>64</v>
      </c>
      <c r="G120" t="s">
        <v>39</v>
      </c>
      <c r="H120" t="s">
        <v>47</v>
      </c>
      <c r="I120" t="s">
        <v>178</v>
      </c>
      <c r="J120" t="s">
        <v>167</v>
      </c>
      <c r="K120" t="s">
        <v>68</v>
      </c>
      <c r="L120" t="s">
        <v>171</v>
      </c>
      <c r="M120" t="s">
        <v>108</v>
      </c>
      <c r="N120" t="s">
        <v>104</v>
      </c>
      <c r="O120" t="s">
        <v>57</v>
      </c>
    </row>
    <row r="121" spans="1:15" x14ac:dyDescent="0.25">
      <c r="A121" t="s">
        <v>70</v>
      </c>
      <c r="B121">
        <f t="shared" si="7"/>
        <v>3</v>
      </c>
      <c r="C121" s="2"/>
      <c r="F121" t="s">
        <v>20</v>
      </c>
      <c r="G121" t="s">
        <v>40</v>
      </c>
      <c r="H121" t="s">
        <v>45</v>
      </c>
      <c r="I121" t="s">
        <v>178</v>
      </c>
      <c r="J121" t="s">
        <v>168</v>
      </c>
      <c r="K121" t="s">
        <v>52</v>
      </c>
      <c r="L121" t="s">
        <v>13</v>
      </c>
      <c r="M121" t="s">
        <v>92</v>
      </c>
      <c r="N121" t="s">
        <v>99</v>
      </c>
      <c r="O121" t="s">
        <v>112</v>
      </c>
    </row>
    <row r="122" spans="1:15" x14ac:dyDescent="0.25">
      <c r="A122" t="s">
        <v>123</v>
      </c>
      <c r="B122">
        <f t="shared" si="7"/>
        <v>1</v>
      </c>
    </row>
    <row r="123" spans="1:15" x14ac:dyDescent="0.25">
      <c r="A123" t="s">
        <v>131</v>
      </c>
      <c r="B123">
        <f t="shared" si="7"/>
        <v>5</v>
      </c>
    </row>
    <row r="124" spans="1:15" x14ac:dyDescent="0.25">
      <c r="A124" t="s">
        <v>103</v>
      </c>
      <c r="B124">
        <f t="shared" si="7"/>
        <v>5</v>
      </c>
    </row>
    <row r="125" spans="1:15" x14ac:dyDescent="0.25">
      <c r="A125" t="s">
        <v>102</v>
      </c>
      <c r="B125">
        <f t="shared" si="7"/>
        <v>3</v>
      </c>
    </row>
    <row r="126" spans="1:15" x14ac:dyDescent="0.25">
      <c r="A126" t="s">
        <v>189</v>
      </c>
      <c r="B126">
        <f t="shared" si="7"/>
        <v>5</v>
      </c>
    </row>
    <row r="127" spans="1:15" x14ac:dyDescent="0.25">
      <c r="A127" t="s">
        <v>117</v>
      </c>
      <c r="B127">
        <f t="shared" si="7"/>
        <v>5</v>
      </c>
    </row>
    <row r="128" spans="1:15" x14ac:dyDescent="0.25">
      <c r="A128" t="s">
        <v>86</v>
      </c>
      <c r="B128">
        <f t="shared" si="7"/>
        <v>2</v>
      </c>
    </row>
    <row r="129" spans="1:2" x14ac:dyDescent="0.25">
      <c r="A129" t="s">
        <v>74</v>
      </c>
      <c r="B129">
        <f t="shared" si="7"/>
        <v>8</v>
      </c>
    </row>
    <row r="130" spans="1:2" x14ac:dyDescent="0.25">
      <c r="A130" t="s">
        <v>94</v>
      </c>
      <c r="B130">
        <f t="shared" si="7"/>
        <v>4</v>
      </c>
    </row>
    <row r="131" spans="1:2" x14ac:dyDescent="0.25">
      <c r="A131" t="s">
        <v>144</v>
      </c>
      <c r="B131">
        <f t="shared" si="7"/>
        <v>2</v>
      </c>
    </row>
    <row r="132" spans="1:2" x14ac:dyDescent="0.25">
      <c r="A132" t="s">
        <v>87</v>
      </c>
      <c r="B132">
        <f t="shared" si="7"/>
        <v>3</v>
      </c>
    </row>
    <row r="133" spans="1:2" x14ac:dyDescent="0.25">
      <c r="A133" t="s">
        <v>98</v>
      </c>
      <c r="B133">
        <f t="shared" si="7"/>
        <v>5</v>
      </c>
    </row>
    <row r="134" spans="1:2" x14ac:dyDescent="0.25">
      <c r="A134" t="s">
        <v>97</v>
      </c>
      <c r="B134">
        <f t="shared" si="7"/>
        <v>5</v>
      </c>
    </row>
    <row r="135" spans="1:2" x14ac:dyDescent="0.25">
      <c r="A135" t="s">
        <v>66</v>
      </c>
      <c r="B135">
        <f t="shared" si="7"/>
        <v>6</v>
      </c>
    </row>
    <row r="136" spans="1:2" x14ac:dyDescent="0.25">
      <c r="A136" t="s">
        <v>190</v>
      </c>
      <c r="B136">
        <f t="shared" si="7"/>
        <v>5</v>
      </c>
    </row>
    <row r="137" spans="1:2" x14ac:dyDescent="0.25">
      <c r="A137" t="s">
        <v>120</v>
      </c>
      <c r="B137">
        <f t="shared" si="7"/>
        <v>3</v>
      </c>
    </row>
    <row r="138" spans="1:2" x14ac:dyDescent="0.25">
      <c r="A138" t="s">
        <v>152</v>
      </c>
      <c r="B138">
        <f t="shared" si="7"/>
        <v>2</v>
      </c>
    </row>
    <row r="139" spans="1:2" x14ac:dyDescent="0.25">
      <c r="A139" t="s">
        <v>125</v>
      </c>
      <c r="B139">
        <f t="shared" si="7"/>
        <v>1</v>
      </c>
    </row>
    <row r="140" spans="1:2" x14ac:dyDescent="0.25">
      <c r="A140" t="s">
        <v>118</v>
      </c>
      <c r="B140">
        <f t="shared" si="7"/>
        <v>4</v>
      </c>
    </row>
    <row r="141" spans="1:2" x14ac:dyDescent="0.25">
      <c r="A141" t="s">
        <v>112</v>
      </c>
      <c r="B141">
        <f t="shared" si="7"/>
        <v>5</v>
      </c>
    </row>
    <row r="142" spans="1:2" x14ac:dyDescent="0.25">
      <c r="A142" t="s">
        <v>113</v>
      </c>
      <c r="B142">
        <f t="shared" si="7"/>
        <v>3</v>
      </c>
    </row>
    <row r="143" spans="1:2" x14ac:dyDescent="0.25">
      <c r="A143" t="s">
        <v>135</v>
      </c>
      <c r="B143">
        <f t="shared" si="7"/>
        <v>1</v>
      </c>
    </row>
    <row r="144" spans="1:2" x14ac:dyDescent="0.25">
      <c r="A144" t="s">
        <v>127</v>
      </c>
      <c r="B144">
        <f t="shared" si="7"/>
        <v>3</v>
      </c>
    </row>
    <row r="145" spans="1:2" x14ac:dyDescent="0.25">
      <c r="A145" t="s">
        <v>30</v>
      </c>
      <c r="B145">
        <f t="shared" si="7"/>
        <v>6</v>
      </c>
    </row>
    <row r="146" spans="1:2" x14ac:dyDescent="0.25">
      <c r="A146" t="s">
        <v>75</v>
      </c>
      <c r="B146">
        <f t="shared" si="7"/>
        <v>4</v>
      </c>
    </row>
    <row r="147" spans="1:2" x14ac:dyDescent="0.25">
      <c r="A147" t="s">
        <v>130</v>
      </c>
      <c r="B147">
        <f t="shared" si="7"/>
        <v>3</v>
      </c>
    </row>
    <row r="148" spans="1:2" x14ac:dyDescent="0.25">
      <c r="A148" t="s">
        <v>105</v>
      </c>
      <c r="B148">
        <f t="shared" si="7"/>
        <v>6</v>
      </c>
    </row>
    <row r="149" spans="1:2" x14ac:dyDescent="0.25">
      <c r="A149" t="s">
        <v>128</v>
      </c>
      <c r="B149">
        <f t="shared" si="7"/>
        <v>4</v>
      </c>
    </row>
    <row r="150" spans="1:2" x14ac:dyDescent="0.25">
      <c r="A150" t="s">
        <v>89</v>
      </c>
      <c r="B150">
        <f t="shared" si="7"/>
        <v>5</v>
      </c>
    </row>
    <row r="151" spans="1:2" x14ac:dyDescent="0.25">
      <c r="A151" t="s">
        <v>174</v>
      </c>
      <c r="B151">
        <f t="shared" si="7"/>
        <v>4</v>
      </c>
    </row>
    <row r="152" spans="1:2" x14ac:dyDescent="0.25">
      <c r="A152" t="s">
        <v>124</v>
      </c>
      <c r="B152">
        <f t="shared" si="7"/>
        <v>2</v>
      </c>
    </row>
    <row r="153" spans="1:2" x14ac:dyDescent="0.25">
      <c r="A153" t="s">
        <v>195</v>
      </c>
      <c r="B153">
        <f t="shared" si="7"/>
        <v>3</v>
      </c>
    </row>
    <row r="154" spans="1:2" x14ac:dyDescent="0.25">
      <c r="A154" t="s">
        <v>76</v>
      </c>
      <c r="B154">
        <f t="shared" si="7"/>
        <v>3</v>
      </c>
    </row>
    <row r="155" spans="1:2" x14ac:dyDescent="0.25">
      <c r="A155" t="s">
        <v>191</v>
      </c>
      <c r="B155">
        <f t="shared" si="7"/>
        <v>4</v>
      </c>
    </row>
    <row r="156" spans="1:2" x14ac:dyDescent="0.25">
      <c r="A156" t="s">
        <v>90</v>
      </c>
      <c r="B156">
        <f t="shared" ref="B156:B190" si="8">COUNTIF($M$1:$O$121,A156)</f>
        <v>4</v>
      </c>
    </row>
    <row r="157" spans="1:2" x14ac:dyDescent="0.25">
      <c r="A157" t="s">
        <v>63</v>
      </c>
      <c r="B157">
        <f t="shared" si="8"/>
        <v>3</v>
      </c>
    </row>
    <row r="158" spans="1:2" x14ac:dyDescent="0.25">
      <c r="A158" t="s">
        <v>79</v>
      </c>
      <c r="B158">
        <f t="shared" si="8"/>
        <v>6</v>
      </c>
    </row>
    <row r="159" spans="1:2" x14ac:dyDescent="0.25">
      <c r="A159" t="s">
        <v>84</v>
      </c>
      <c r="B159">
        <f t="shared" si="8"/>
        <v>2</v>
      </c>
    </row>
    <row r="160" spans="1:2" x14ac:dyDescent="0.25">
      <c r="A160" t="s">
        <v>147</v>
      </c>
      <c r="B160">
        <f t="shared" si="8"/>
        <v>6</v>
      </c>
    </row>
    <row r="161" spans="1:2" x14ac:dyDescent="0.25">
      <c r="A161" t="s">
        <v>56</v>
      </c>
      <c r="B161">
        <f t="shared" si="8"/>
        <v>4</v>
      </c>
    </row>
    <row r="162" spans="1:2" x14ac:dyDescent="0.25">
      <c r="A162" t="s">
        <v>71</v>
      </c>
      <c r="B162">
        <f t="shared" si="8"/>
        <v>1</v>
      </c>
    </row>
    <row r="163" spans="1:2" x14ac:dyDescent="0.25">
      <c r="A163" t="s">
        <v>77</v>
      </c>
      <c r="B163">
        <f t="shared" si="8"/>
        <v>6</v>
      </c>
    </row>
    <row r="164" spans="1:2" x14ac:dyDescent="0.25">
      <c r="A164" t="s">
        <v>99</v>
      </c>
      <c r="B164">
        <f t="shared" si="8"/>
        <v>3</v>
      </c>
    </row>
    <row r="165" spans="1:2" x14ac:dyDescent="0.25">
      <c r="A165" t="s">
        <v>72</v>
      </c>
      <c r="B165">
        <f t="shared" si="8"/>
        <v>2</v>
      </c>
    </row>
    <row r="166" spans="1:2" x14ac:dyDescent="0.25">
      <c r="A166" t="s">
        <v>100</v>
      </c>
      <c r="B166">
        <f t="shared" si="8"/>
        <v>4</v>
      </c>
    </row>
    <row r="167" spans="1:2" x14ac:dyDescent="0.25">
      <c r="A167" t="s">
        <v>138</v>
      </c>
      <c r="B167">
        <f t="shared" si="8"/>
        <v>4</v>
      </c>
    </row>
    <row r="168" spans="1:2" x14ac:dyDescent="0.25">
      <c r="A168" t="s">
        <v>69</v>
      </c>
      <c r="B168">
        <f t="shared" si="8"/>
        <v>3</v>
      </c>
    </row>
    <row r="169" spans="1:2" x14ac:dyDescent="0.25">
      <c r="A169" t="s">
        <v>142</v>
      </c>
      <c r="B169">
        <f t="shared" si="8"/>
        <v>1</v>
      </c>
    </row>
    <row r="170" spans="1:2" x14ac:dyDescent="0.25">
      <c r="A170" t="s">
        <v>136</v>
      </c>
      <c r="B170">
        <f t="shared" si="8"/>
        <v>4</v>
      </c>
    </row>
    <row r="171" spans="1:2" x14ac:dyDescent="0.25">
      <c r="A171" t="s">
        <v>81</v>
      </c>
      <c r="B171">
        <f t="shared" si="8"/>
        <v>7</v>
      </c>
    </row>
    <row r="172" spans="1:2" x14ac:dyDescent="0.25">
      <c r="A172" t="s">
        <v>134</v>
      </c>
      <c r="B172">
        <f t="shared" si="8"/>
        <v>4</v>
      </c>
    </row>
    <row r="173" spans="1:2" x14ac:dyDescent="0.25">
      <c r="A173" t="s">
        <v>133</v>
      </c>
      <c r="B173">
        <f t="shared" si="8"/>
        <v>2</v>
      </c>
    </row>
    <row r="174" spans="1:2" x14ac:dyDescent="0.25">
      <c r="A174" t="s">
        <v>57</v>
      </c>
      <c r="B174">
        <f t="shared" si="8"/>
        <v>2</v>
      </c>
    </row>
    <row r="175" spans="1:2" x14ac:dyDescent="0.25">
      <c r="A175" t="s">
        <v>85</v>
      </c>
      <c r="B175">
        <f t="shared" si="8"/>
        <v>2</v>
      </c>
    </row>
    <row r="176" spans="1:2" x14ac:dyDescent="0.25">
      <c r="A176" t="s">
        <v>108</v>
      </c>
      <c r="B176">
        <f t="shared" si="8"/>
        <v>4</v>
      </c>
    </row>
    <row r="177" spans="1:2" x14ac:dyDescent="0.25">
      <c r="A177" t="s">
        <v>137</v>
      </c>
      <c r="B177">
        <f t="shared" si="8"/>
        <v>5</v>
      </c>
    </row>
    <row r="178" spans="1:2" x14ac:dyDescent="0.25">
      <c r="A178" t="s">
        <v>80</v>
      </c>
      <c r="B178">
        <f t="shared" si="8"/>
        <v>3</v>
      </c>
    </row>
    <row r="179" spans="1:2" x14ac:dyDescent="0.25">
      <c r="A179" t="s">
        <v>119</v>
      </c>
      <c r="B179">
        <f t="shared" si="8"/>
        <v>6</v>
      </c>
    </row>
    <row r="180" spans="1:2" x14ac:dyDescent="0.25">
      <c r="A180" t="s">
        <v>186</v>
      </c>
      <c r="B180">
        <f t="shared" si="8"/>
        <v>2</v>
      </c>
    </row>
    <row r="181" spans="1:2" x14ac:dyDescent="0.25">
      <c r="A181" t="s">
        <v>185</v>
      </c>
      <c r="B181">
        <f t="shared" si="8"/>
        <v>1</v>
      </c>
    </row>
    <row r="182" spans="1:2" x14ac:dyDescent="0.25">
      <c r="A182" t="s">
        <v>175</v>
      </c>
      <c r="B182">
        <f t="shared" si="8"/>
        <v>5</v>
      </c>
    </row>
    <row r="183" spans="1:2" x14ac:dyDescent="0.25">
      <c r="A183" t="s">
        <v>29</v>
      </c>
      <c r="B183">
        <f t="shared" si="8"/>
        <v>1</v>
      </c>
    </row>
    <row r="184" spans="1:2" x14ac:dyDescent="0.25">
      <c r="A184" t="s">
        <v>122</v>
      </c>
      <c r="B184">
        <f t="shared" si="8"/>
        <v>3</v>
      </c>
    </row>
    <row r="185" spans="1:2" x14ac:dyDescent="0.25">
      <c r="A185" t="s">
        <v>96</v>
      </c>
      <c r="B185">
        <f t="shared" si="8"/>
        <v>4</v>
      </c>
    </row>
    <row r="186" spans="1:2" x14ac:dyDescent="0.25">
      <c r="A186" t="s">
        <v>95</v>
      </c>
      <c r="B186">
        <f t="shared" si="8"/>
        <v>2</v>
      </c>
    </row>
    <row r="187" spans="1:2" x14ac:dyDescent="0.25">
      <c r="A187" t="s">
        <v>73</v>
      </c>
      <c r="B187">
        <f t="shared" si="8"/>
        <v>5</v>
      </c>
    </row>
    <row r="188" spans="1:2" x14ac:dyDescent="0.25">
      <c r="A188" t="s">
        <v>91</v>
      </c>
      <c r="B188">
        <f t="shared" si="8"/>
        <v>4</v>
      </c>
    </row>
    <row r="189" spans="1:2" x14ac:dyDescent="0.25">
      <c r="A189" t="s">
        <v>141</v>
      </c>
      <c r="B189">
        <f t="shared" si="8"/>
        <v>1</v>
      </c>
    </row>
    <row r="190" spans="1:2" x14ac:dyDescent="0.25">
      <c r="A190" t="s">
        <v>109</v>
      </c>
      <c r="B190">
        <f t="shared" si="8"/>
        <v>2</v>
      </c>
    </row>
    <row r="192" spans="1:2" x14ac:dyDescent="0.25">
      <c r="A192" t="s">
        <v>32</v>
      </c>
      <c r="B192">
        <f>COUNTIF($D$1:$D$121,A192)</f>
        <v>1</v>
      </c>
    </row>
    <row r="193" spans="1:2" x14ac:dyDescent="0.25">
      <c r="A193" t="s">
        <v>33</v>
      </c>
      <c r="B193">
        <f t="shared" ref="B193:B198" si="9">COUNTIF($D$1:$D$121,A193)</f>
        <v>2</v>
      </c>
    </row>
    <row r="194" spans="1:2" x14ac:dyDescent="0.25">
      <c r="A194" t="s">
        <v>34</v>
      </c>
      <c r="B194">
        <f t="shared" si="9"/>
        <v>8</v>
      </c>
    </row>
    <row r="195" spans="1:2" x14ac:dyDescent="0.25">
      <c r="A195" t="s">
        <v>37</v>
      </c>
      <c r="B195">
        <f t="shared" si="9"/>
        <v>4</v>
      </c>
    </row>
    <row r="196" spans="1:2" x14ac:dyDescent="0.25">
      <c r="A196" t="s">
        <v>36</v>
      </c>
      <c r="B196">
        <f t="shared" si="9"/>
        <v>12</v>
      </c>
    </row>
    <row r="197" spans="1:2" x14ac:dyDescent="0.25">
      <c r="A197" t="s">
        <v>35</v>
      </c>
      <c r="B197">
        <f t="shared" si="9"/>
        <v>10</v>
      </c>
    </row>
    <row r="198" spans="1:2" x14ac:dyDescent="0.25">
      <c r="A198" t="s">
        <v>38</v>
      </c>
      <c r="B198">
        <f t="shared" si="9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 Template</vt:lpstr>
      <vt:lpstr>Key</vt:lpstr>
      <vt:lpstr>Sample Subsector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Bell</dc:creator>
  <cp:lastModifiedBy>John Bell</cp:lastModifiedBy>
  <dcterms:created xsi:type="dcterms:W3CDTF">2023-12-05T22:13:41Z</dcterms:created>
  <dcterms:modified xsi:type="dcterms:W3CDTF">2023-12-23T06:43:39Z</dcterms:modified>
</cp:coreProperties>
</file>